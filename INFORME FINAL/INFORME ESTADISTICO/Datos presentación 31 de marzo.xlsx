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Volumes/TRITERA 2025/03 GITHUB/INFOGRAFIAS-LEY-DE-CULTURA/INFORME FINAL/INFORME ESTADISTICO/"/>
    </mc:Choice>
  </mc:AlternateContent>
  <xr:revisionPtr revIDLastSave="0" documentId="13_ncr:1_{48C7EFDA-1798-6843-BC82-86D228CEB81A}" xr6:coauthVersionLast="47" xr6:coauthVersionMax="47" xr10:uidLastSave="{00000000-0000-0000-0000-000000000000}"/>
  <bookViews>
    <workbookView xWindow="38560" yWindow="660" windowWidth="38100" windowHeight="20800" xr2:uid="{00000000-000D-0000-FFFF-FFFF00000000}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9" i="1" l="1"/>
  <c r="D48" i="1"/>
  <c r="D47" i="1"/>
  <c r="D46" i="1"/>
  <c r="D45" i="1"/>
  <c r="D44" i="1"/>
  <c r="D43" i="1"/>
  <c r="D42" i="1"/>
  <c r="D41" i="1"/>
  <c r="D40" i="1"/>
</calcChain>
</file>

<file path=xl/sharedStrings.xml><?xml version="1.0" encoding="utf-8"?>
<sst xmlns="http://schemas.openxmlformats.org/spreadsheetml/2006/main" count="600" uniqueCount="383">
  <si>
    <t>ESTADÍSTICAS BASE CONVENIO 1022</t>
  </si>
  <si>
    <t>Total Procesos apoyados con recurso económico</t>
  </si>
  <si>
    <t>Total beneficarios indirectos</t>
  </si>
  <si>
    <t>Rango de aportes del Ministerio</t>
  </si>
  <si>
    <t>de</t>
  </si>
  <si>
    <t>$77.000.</t>
  </si>
  <si>
    <t>Transporte Encuentro Hip Hop</t>
  </si>
  <si>
    <t>hasta</t>
  </si>
  <si>
    <t>$350.000.000</t>
  </si>
  <si>
    <t>Casas Atrapasueños</t>
  </si>
  <si>
    <t>Inversión promedio por beneficiario</t>
  </si>
  <si>
    <t>$699.182</t>
  </si>
  <si>
    <t>no inlcuye apoyos logísticos ni tampoco se calcula con las organizaciones que NO reportaron beneficiarios</t>
  </si>
  <si>
    <t>Promedio de beneficiarios por proyecto</t>
  </si>
  <si>
    <t>Beneficiarios indirectos por "red"</t>
  </si>
  <si>
    <t>HIP HOP</t>
  </si>
  <si>
    <t>EMERGENTES</t>
  </si>
  <si>
    <t>JOVENES</t>
  </si>
  <si>
    <t>MUJERES</t>
  </si>
  <si>
    <t>Porcentaje de proyectos por rango de inversión</t>
  </si>
  <si>
    <t>Rango de inversión</t>
  </si>
  <si>
    <t>Porcentaje</t>
  </si>
  <si>
    <t>0- $5.000.000</t>
  </si>
  <si>
    <t>$5.000.000- $20.000.000</t>
  </si>
  <si>
    <t>el 60,9% de los proyectos es´ta entre 5 millones y 50 millones</t>
  </si>
  <si>
    <t>$20.000.000 A $50.000.000</t>
  </si>
  <si>
    <t>politica de financiamiento concentrada en proyectos medianos y escalabilidad moderada</t>
  </si>
  <si>
    <t>Más de $50.000.000</t>
  </si>
  <si>
    <t>Promedio de inversión por proyecto</t>
  </si>
  <si>
    <t>Red</t>
  </si>
  <si>
    <t>Promedio de inversión en proyectos</t>
  </si>
  <si>
    <t>Modelo de inversión segméntado:</t>
  </si>
  <si>
    <t>APOYO LOGÍSTICO</t>
  </si>
  <si>
    <t>$14.000.000</t>
  </si>
  <si>
    <t>Base: Apoyo logístico (bajo costo, alta cobertura)</t>
  </si>
  <si>
    <t>$77.000.000</t>
  </si>
  <si>
    <t>Crecimiento: Jóvenes e Hip Hop (escala media-alta)</t>
  </si>
  <si>
    <t>$42.000.000</t>
  </si>
  <si>
    <t>Impacto estratégico: Emergentes (alta inversión)</t>
  </si>
  <si>
    <t>JÓVENES</t>
  </si>
  <si>
    <t>$48.000.000</t>
  </si>
  <si>
    <t>Rezago relativo: Mujeres (menor escala de financiación)</t>
  </si>
  <si>
    <t>$20.000.000</t>
  </si>
  <si>
    <t>Lugar de ejecucion de los proyectos</t>
  </si>
  <si>
    <t>RURAL</t>
  </si>
  <si>
    <t>URBANO</t>
  </si>
  <si>
    <t>Sexo</t>
  </si>
  <si>
    <t>Hombre</t>
  </si>
  <si>
    <t>Mujer</t>
  </si>
  <si>
    <t>No responde</t>
  </si>
  <si>
    <t>POR RED- SEXO</t>
  </si>
  <si>
    <t>HOMBRE</t>
  </si>
  <si>
    <t>EL PORCENTAJE ES SOBRE</t>
  </si>
  <si>
    <t>MUJER</t>
  </si>
  <si>
    <t>CADA RED</t>
  </si>
  <si>
    <t>NO RESPONDE</t>
  </si>
  <si>
    <t>Identidad de género</t>
  </si>
  <si>
    <t>FEMENINO</t>
  </si>
  <si>
    <t>MASCULINO</t>
  </si>
  <si>
    <t>NO SABE / NO RESPONDE</t>
  </si>
  <si>
    <t>OTRA</t>
  </si>
  <si>
    <t>PERSONA NO BINARIA</t>
  </si>
  <si>
    <t>TRANS FEMENINO</t>
  </si>
  <si>
    <t>Grupo étnico</t>
  </si>
  <si>
    <t>GITANO(A) O RROM</t>
  </si>
  <si>
    <t>INDIGENA</t>
  </si>
  <si>
    <t>NEGRO(A), MULATO(A), AFRODESCENCIENTE, AFROCOLOMBIANO(A)</t>
  </si>
  <si>
    <t>NINGÚN GRUPO ÉTNICO</t>
  </si>
  <si>
    <t>PALENQUERO(A) DE SAN BASILIO</t>
  </si>
  <si>
    <t>RAIZAL DEL ARCHIPIÉLAGO DE SAN ANDRÉS, PROVIDENCIA Y SANTA CATALINA</t>
  </si>
  <si>
    <t>CAMPESINO</t>
  </si>
  <si>
    <t>NO</t>
  </si>
  <si>
    <t>SI</t>
  </si>
  <si>
    <t>POBLACIÓN MIGRANTE</t>
  </si>
  <si>
    <t>BARRISMO SOCIAL</t>
  </si>
  <si>
    <t>ORIENTACIÓN SEXUAL</t>
  </si>
  <si>
    <t>ASEXUAL</t>
  </si>
  <si>
    <t>BISEXUAL</t>
  </si>
  <si>
    <t>DEMISEXUAL</t>
  </si>
  <si>
    <t>GAY</t>
  </si>
  <si>
    <t>HETEROSEXUAL</t>
  </si>
  <si>
    <t>LESBIANA</t>
  </si>
  <si>
    <t>PANSEXUAL</t>
  </si>
  <si>
    <t>FIRMANTE DE PAZ</t>
  </si>
  <si>
    <t>Porentaje de beneficiarios por</t>
  </si>
  <si>
    <t>ARTES VISUALES Y PLÁSTICAS</t>
  </si>
  <si>
    <t xml:space="preserve">en otros hay disciplinas como comic, charlas de VBG, Bioturismo, gestión, etc. </t>
  </si>
  <si>
    <t>disciplina artística</t>
  </si>
  <si>
    <t>AUDIOVISUALES</t>
  </si>
  <si>
    <t>BIOCULTURAL</t>
  </si>
  <si>
    <t>DANZA</t>
  </si>
  <si>
    <t>LITERATURA</t>
  </si>
  <si>
    <t>MÚSICA</t>
  </si>
  <si>
    <t>OTRO</t>
  </si>
  <si>
    <t>TEATRO</t>
  </si>
  <si>
    <t>Tipo de infraestructura donde</t>
  </si>
  <si>
    <t>BIBLIOTECA</t>
  </si>
  <si>
    <t>recibe la formación</t>
  </si>
  <si>
    <t>CENTROS CULTURALES</t>
  </si>
  <si>
    <t>en otros hay conchas acusticas, casas particulares, calle</t>
  </si>
  <si>
    <t>ESTABLECIMIENTO EDUCATIVO</t>
  </si>
  <si>
    <t>ESTABLECIMIENTO PENITENCIARIO</t>
  </si>
  <si>
    <t>NO APLICA</t>
  </si>
  <si>
    <t xml:space="preserve">PARQUES </t>
  </si>
  <si>
    <t>SEDE DE ENTIDAD SIN ÁNIMO DE LUCRO</t>
  </si>
  <si>
    <t>Localidades</t>
  </si>
  <si>
    <t>Departamentos</t>
  </si>
  <si>
    <t>Divipola Municipio</t>
  </si>
  <si>
    <t>Procentaje de beneficiarios</t>
  </si>
  <si>
    <t>Municipio</t>
  </si>
  <si>
    <t>Departamento</t>
  </si>
  <si>
    <t>Categoría Legal</t>
  </si>
  <si>
    <t>Decreto 1650 de 2017 (que define las ZOMAC - Zonas Más Afectadas por el Conflicto Armado) y el Decreto 893 de 2017 (que establece los municipios PDET - Programas de Desarrollo con Enfoque Territorial).</t>
  </si>
  <si>
    <t>Municipios</t>
  </si>
  <si>
    <t>05001-ANTIOQUIA-MEDELLÍN</t>
  </si>
  <si>
    <t>Carepa</t>
  </si>
  <si>
    <t>Antioquia</t>
  </si>
  <si>
    <t>PDET y ZOMAC</t>
  </si>
  <si>
    <t>Departamentos PDET y ZOMAC</t>
  </si>
  <si>
    <t>05086-ANTIOQUIA-BELMIRA</t>
  </si>
  <si>
    <t>Necoclí</t>
  </si>
  <si>
    <t>05086-ANTIOQUIA-CAREPA</t>
  </si>
  <si>
    <t>San Juan de Urabá</t>
  </si>
  <si>
    <t>05490-ANTIOQUIA-NECOCLÍ</t>
  </si>
  <si>
    <t>San Pedro de Urabá</t>
  </si>
  <si>
    <t>05541-ANTIOQUIA-PEÑOL</t>
  </si>
  <si>
    <t>Apartadó</t>
  </si>
  <si>
    <t>05631-ANTIOQUIA-SABANETA</t>
  </si>
  <si>
    <t>Turbo</t>
  </si>
  <si>
    <t>05659-ANTIOQUIA-SAN JUAN DE URABÁ</t>
  </si>
  <si>
    <t>Vigía del Fuerte</t>
  </si>
  <si>
    <t>05665-ANTIOQUIA-SAN PEDRO DE URABÁ</t>
  </si>
  <si>
    <t>Zaragoza</t>
  </si>
  <si>
    <t>05756-ANTIOQUIA-SONSÓN</t>
  </si>
  <si>
    <t>Chigorodó</t>
  </si>
  <si>
    <t>057840- ANTIOQUIA-APARTADO</t>
  </si>
  <si>
    <t>Sonsón</t>
  </si>
  <si>
    <t>ZOMAC</t>
  </si>
  <si>
    <t>05837-ANTIOQUIA-TURBO</t>
  </si>
  <si>
    <t>Luruaco</t>
  </si>
  <si>
    <t>Atlántico</t>
  </si>
  <si>
    <t>05873-ANTIOQUIA-VIGÍA DEL FUERTE</t>
  </si>
  <si>
    <t>San Jacinto</t>
  </si>
  <si>
    <t>Bolívar</t>
  </si>
  <si>
    <t>05895-ANTIOQUIA-ZARAGOZA</t>
  </si>
  <si>
    <t>Mahates</t>
  </si>
  <si>
    <t>08001-ATLÁNTICO-BARRANQUILLA</t>
  </si>
  <si>
    <t>Riosucio</t>
  </si>
  <si>
    <t>Caldas</t>
  </si>
  <si>
    <t>08296-ATLÁNTICO-GALAPA</t>
  </si>
  <si>
    <t>Caloto</t>
  </si>
  <si>
    <t>Cauca</t>
  </si>
  <si>
    <t>08421-ATLÁNTICO-LURUACO</t>
  </si>
  <si>
    <t>Valledupar</t>
  </si>
  <si>
    <t>Cesar</t>
  </si>
  <si>
    <t>08573-ATLÁNTICO-PUERTO COLOMBIA</t>
  </si>
  <si>
    <t>Chiriguaná</t>
  </si>
  <si>
    <t>11001-BOGOTÁ, D. C.-BOGOTÁ, D.</t>
  </si>
  <si>
    <t>Pueblo Bello</t>
  </si>
  <si>
    <t>13001-BOLÍVAR-CARTAGENA DE INDIAS</t>
  </si>
  <si>
    <t>Purísima</t>
  </si>
  <si>
    <t>Córdoba</t>
  </si>
  <si>
    <t>13433-BOLÍVAR-MAHATES</t>
  </si>
  <si>
    <t>San Pelayo</t>
  </si>
  <si>
    <t>13654-BOLÍVAR-SAN JACINTO</t>
  </si>
  <si>
    <t>Yacopí</t>
  </si>
  <si>
    <t>Cundinamarca</t>
  </si>
  <si>
    <t>13836-BOLÍVAR-TURBACO</t>
  </si>
  <si>
    <t>Fómeque</t>
  </si>
  <si>
    <t>15001-BOYACÁ-TUNJA</t>
  </si>
  <si>
    <t>Gutiérrez</t>
  </si>
  <si>
    <t>15407-BOYACÁ-VILLA DE LEYVA</t>
  </si>
  <si>
    <t>Silvania</t>
  </si>
  <si>
    <t>15491-BOYACÁ-NOBSA</t>
  </si>
  <si>
    <t>Quibdó</t>
  </si>
  <si>
    <t>Chocó</t>
  </si>
  <si>
    <t>15516-BOYACÁ-PAIPA</t>
  </si>
  <si>
    <t>Carmen del Darién</t>
  </si>
  <si>
    <t>15759-BOYACÁ-SOGAMOSO</t>
  </si>
  <si>
    <t>Río Iró</t>
  </si>
  <si>
    <t>17001-CALDAS-MANIZALES</t>
  </si>
  <si>
    <t>Riohacha</t>
  </si>
  <si>
    <t>La Guajira</t>
  </si>
  <si>
    <t>17174-CALDAS-CHINCHINÁ</t>
  </si>
  <si>
    <t>Maicao</t>
  </si>
  <si>
    <t>17486-CALDAS-NEIRA</t>
  </si>
  <si>
    <t>Villanueva</t>
  </si>
  <si>
    <t>17614-CALDAS-RIOSUCIO</t>
  </si>
  <si>
    <t>Aracataca</t>
  </si>
  <si>
    <t>Magdalena</t>
  </si>
  <si>
    <t>17873-CALDAS-VILLAMARÍA</t>
  </si>
  <si>
    <t>El Banco</t>
  </si>
  <si>
    <t>17877-CALDAS-VITERBO</t>
  </si>
  <si>
    <t>San Juan de Arama</t>
  </si>
  <si>
    <t>Meta</t>
  </si>
  <si>
    <t>19001-CAUCA-POPAYÁN</t>
  </si>
  <si>
    <t>Samaniego</t>
  </si>
  <si>
    <t>Nariño</t>
  </si>
  <si>
    <t>19142-CAUCA-CALOTO</t>
  </si>
  <si>
    <t>Tumaco</t>
  </si>
  <si>
    <t>20001-CESAR-VALLEDUPAR</t>
  </si>
  <si>
    <t>Ipiales</t>
  </si>
  <si>
    <t>20178-CESAR-CHIRIGUANÁ</t>
  </si>
  <si>
    <t>Ocaña</t>
  </si>
  <si>
    <t>Norte de Santander</t>
  </si>
  <si>
    <t>20570-CESAR-PUEBLO BELLO</t>
  </si>
  <si>
    <t>Cúcuta</t>
  </si>
  <si>
    <t>23001-CÓRDOBA-MONTERÍA</t>
  </si>
  <si>
    <t>San Vicente de Chucurí</t>
  </si>
  <si>
    <t>Santander</t>
  </si>
  <si>
    <t>23586-CÓRDOBA-PURÍSIMA DE LA CONCEPCIÓN</t>
  </si>
  <si>
    <t>Barrancabermeja</t>
  </si>
  <si>
    <t>23686-CÓRDOBA-SAN PELAYO</t>
  </si>
  <si>
    <t>La Belleza</t>
  </si>
  <si>
    <t>25126-CUNDINAMARCA-CAJICÁ</t>
  </si>
  <si>
    <t>Corozal</t>
  </si>
  <si>
    <t>Sucre</t>
  </si>
  <si>
    <t>25175-CUNDINAMARCA-CHÍA</t>
  </si>
  <si>
    <t>Armero Guayabal</t>
  </si>
  <si>
    <t>Tolima</t>
  </si>
  <si>
    <t>25214-CUNDINAMARCA-COTA</t>
  </si>
  <si>
    <t>Buenaventura</t>
  </si>
  <si>
    <t>Valle del Cauca</t>
  </si>
  <si>
    <t>25279-CUNDINAMARCA-FÓMEQUE</t>
  </si>
  <si>
    <t>Bugalagrande</t>
  </si>
  <si>
    <t>25322-CUNDINAMARCA-GUASCA</t>
  </si>
  <si>
    <t>Florida</t>
  </si>
  <si>
    <t>25339-CUNDINAMARCA-GUTIÉRREZ</t>
  </si>
  <si>
    <t>Jamundí</t>
  </si>
  <si>
    <t>25473-CUNDINAMARCA-MOSQUERA</t>
  </si>
  <si>
    <t>Sevilla</t>
  </si>
  <si>
    <t>25743-CUNDINAMARCA-SILVANIA</t>
  </si>
  <si>
    <t>Tuluá</t>
  </si>
  <si>
    <t>25754-CUNDINAMARCA-SOACHA</t>
  </si>
  <si>
    <t>Arauca</t>
  </si>
  <si>
    <t>25758-CUNDINAMARCA-SOPÓ</t>
  </si>
  <si>
    <t>Puerto Asís</t>
  </si>
  <si>
    <t>Putumayo</t>
  </si>
  <si>
    <t>25769-CUNDINAMARCA-SUBACHOQUE</t>
  </si>
  <si>
    <t>Sibundoy</t>
  </si>
  <si>
    <t>25772-CUNDINAMARCA-SUESCA</t>
  </si>
  <si>
    <t>Puerto Nariño</t>
  </si>
  <si>
    <t>Amazonas</t>
  </si>
  <si>
    <t>25785-CUNDINAMARCA-TABIO</t>
  </si>
  <si>
    <t>Inírida</t>
  </si>
  <si>
    <t>Guainía</t>
  </si>
  <si>
    <t>25799-CUNDINAMARCA-TENJO</t>
  </si>
  <si>
    <t>San José del Guaviare</t>
  </si>
  <si>
    <t>Guaviare</t>
  </si>
  <si>
    <t>25817-CUNDINAMARCA-TOCANCIPÁ</t>
  </si>
  <si>
    <t>Puerto Carreño</t>
  </si>
  <si>
    <t>Vichada</t>
  </si>
  <si>
    <t>25885-CUNDINAMARCA-YACOPÍ</t>
  </si>
  <si>
    <t>27001-CHOCÓ-QUIBDÓ</t>
  </si>
  <si>
    <t>27150-CHOCÓ-CARMEN DEL DARIÉN</t>
  </si>
  <si>
    <t>27580-CHOCÓ-RÍO IRÓ</t>
  </si>
  <si>
    <t>41551-HUILA-PITALITO</t>
  </si>
  <si>
    <t>41615-HUILA-RIVERA</t>
  </si>
  <si>
    <t>44001-LA GUAJIRA-RIOHACHA</t>
  </si>
  <si>
    <t>44430-LA GUAJIRA-MAICAO</t>
  </si>
  <si>
    <t>44874-LA GUAJIRA-VILLANUEVA</t>
  </si>
  <si>
    <t>47001-MAGDALENA-SANTA MARTA</t>
  </si>
  <si>
    <t>47053-MAGDALENA-ARACATACA</t>
  </si>
  <si>
    <t>47245-MAGDALENA-EL BANCO</t>
  </si>
  <si>
    <t>50001-META-VILLAVICENCIO</t>
  </si>
  <si>
    <t>50573-META-PUERTO LÓPEZ</t>
  </si>
  <si>
    <t>50683-META-SAN JUAN DE ARAMA</t>
  </si>
  <si>
    <t>52001-NARIÑO-PASTO</t>
  </si>
  <si>
    <t>52356-NARIÑO-IPIALES</t>
  </si>
  <si>
    <t>52678-NARIÑO-SAMANIEGO</t>
  </si>
  <si>
    <t>52835-NARIÑO-SAN ANDRÉS DE TUMACO</t>
  </si>
  <si>
    <t>54001-NORTE DE SANTANDER-CÚCUTA</t>
  </si>
  <si>
    <t>54498-NORTE DE SANTANDER-OCAÑA</t>
  </si>
  <si>
    <t>63001-QUINDÍO-ARMENIA</t>
  </si>
  <si>
    <t>66001-RISARALDA-PEREIRA</t>
  </si>
  <si>
    <t>68001-SANTANDER-BUCARAMANGA</t>
  </si>
  <si>
    <t>68081-SANTANDER-BARRANCABERMEJA</t>
  </si>
  <si>
    <t>68377-SANTANDER-LA BELLEZA</t>
  </si>
  <si>
    <t>68418-SANTANDER-LOS SANTOS</t>
  </si>
  <si>
    <t>68547-SANTANDER-PIEDECUESTA</t>
  </si>
  <si>
    <t>68689-SANTANDER-SAN VICENTE DE CHUCURÍ</t>
  </si>
  <si>
    <t>70215-SUCRE-COROZAL</t>
  </si>
  <si>
    <t>73001-TOLIMA-IBAGUÉ</t>
  </si>
  <si>
    <t>73055-TOLIMA-ARMERO GUAYABAL</t>
  </si>
  <si>
    <t>76001-VALLE DEL CAUCA-CALI</t>
  </si>
  <si>
    <t>76109-VALLE DEL CAUCA-BUENAVENTURA</t>
  </si>
  <si>
    <t>76111-VALLE DEL CAUCA-GUADALAJARA DE BUGA</t>
  </si>
  <si>
    <t>76113-VALLE DEL CAUCA-BUGALAGRANDE</t>
  </si>
  <si>
    <t>76275-VALLE DEL CAUCA-FLORIDA</t>
  </si>
  <si>
    <t>76306-VALLE DEL CAUCA-GINEBRA</t>
  </si>
  <si>
    <t>76364-VALLE DEL CAUCA-JAMUNDÍ</t>
  </si>
  <si>
    <t>76736-VALLE DEL CAUCA-SEVILLA</t>
  </si>
  <si>
    <t>76834-VALLE DEL CAUCA-TULUÁ</t>
  </si>
  <si>
    <t>76892-VALLE DEL CAUCA-YUMBO</t>
  </si>
  <si>
    <t>81001-ARAUCA-ARAUCA</t>
  </si>
  <si>
    <t>86568-PUTUMAYO-PUERTO ASÍS</t>
  </si>
  <si>
    <t>86749-PUTUMAYO-SIBUNDOY</t>
  </si>
  <si>
    <t>88001-ARCHIPIÉLAGO DE SAN ANDRÉS, PROVIDENCIA Y -SAN ANDRÉS</t>
  </si>
  <si>
    <t>91001-AMAZONAS-LETICIA</t>
  </si>
  <si>
    <t>91540-AMAZONAS-PUERTO NARIÑO</t>
  </si>
  <si>
    <t>94001-GUAINÍA-INÍRIDA</t>
  </si>
  <si>
    <t>94343-GUAINÍA-BARRANCO MINAS</t>
  </si>
  <si>
    <t>95001-GUAVIARE-SAN JOSÉ DEL GUAVIARE</t>
  </si>
  <si>
    <t>99001-VICHADA-PUERTO CARREÑO</t>
  </si>
  <si>
    <t>05172- ANTIOQUIA-CHIGORODÓ</t>
  </si>
  <si>
    <t>Beneficiarios por departamento</t>
  </si>
  <si>
    <t>Procentaje de beneficiarios sobre el total</t>
  </si>
  <si>
    <t>Bogotá D.C.</t>
  </si>
  <si>
    <t>Boyacá</t>
  </si>
  <si>
    <t>Huila</t>
  </si>
  <si>
    <t>Quindío</t>
  </si>
  <si>
    <t>San Andrés y Providencia</t>
  </si>
  <si>
    <t>Risaralda</t>
  </si>
  <si>
    <t xml:space="preserve">Porcentaje de participacion en </t>
  </si>
  <si>
    <t>Rango de participación</t>
  </si>
  <si>
    <t>% total</t>
  </si>
  <si>
    <t>las actividades de los beneficiarios</t>
  </si>
  <si>
    <t>0% – 50%</t>
  </si>
  <si>
    <t>1.92%</t>
  </si>
  <si>
    <t>Alta participacion en los procesos y poca deserción</t>
  </si>
  <si>
    <t>50% – 70%</t>
  </si>
  <si>
    <t>6.41%</t>
  </si>
  <si>
    <t>70% – 100%</t>
  </si>
  <si>
    <t>91.67%</t>
  </si>
  <si>
    <t>Participacion promedio en actividades</t>
  </si>
  <si>
    <t>Fecha de constitución de los</t>
  </si>
  <si>
    <t>Rango de años</t>
  </si>
  <si>
    <t>%</t>
  </si>
  <si>
    <t>procesos</t>
  </si>
  <si>
    <t>1960 – 1999</t>
  </si>
  <si>
    <t>9.38%</t>
  </si>
  <si>
    <t>La mitad de las organizaciones se crean después del 2010</t>
  </si>
  <si>
    <t>2000 – 2010</t>
  </si>
  <si>
    <t>18.75%</t>
  </si>
  <si>
    <t>y la mitad de ellas son recientes, después del 2020</t>
  </si>
  <si>
    <t>2010 – 2019</t>
  </si>
  <si>
    <t>35.94%</t>
  </si>
  <si>
    <t>2020 – 2026</t>
  </si>
  <si>
    <t>Disciplina por departamento (moda)</t>
  </si>
  <si>
    <t>Disciplina dominante</t>
  </si>
  <si>
    <t>Total casos disciplina dominante</t>
  </si>
  <si>
    <t>Observación</t>
  </si>
  <si>
    <t>Danza</t>
  </si>
  <si>
    <t>Alta (claramente dominante)</t>
  </si>
  <si>
    <t>Fuerte presencia en varios municipios</t>
  </si>
  <si>
    <t>Danza es la disciplina más frecuente territorialmente (más departamentos).</t>
  </si>
  <si>
    <t>Sin datos</t>
  </si>
  <si>
    <t>No hay registros efectivos</t>
  </si>
  <si>
    <t>Música domina en regiones periféricas (Chocó, Nariño, Santander, Amazonía).</t>
  </si>
  <si>
    <t>Otro</t>
  </si>
  <si>
    <t>Muy alta</t>
  </si>
  <si>
    <t>Dominada por categoría “Otro”</t>
  </si>
  <si>
    <t>Artes visuales y plásticas domina en departamentos con mayor institucionalidad cultural (Cundinamarca, Boyacá, Córdoba).</t>
  </si>
  <si>
    <t>Media</t>
  </si>
  <si>
    <t>Principalmente en Mahates</t>
  </si>
  <si>
    <t>Artes visuales y plásticas</t>
  </si>
  <si>
    <t>Concentrado en Sogamoso y Tunja</t>
  </si>
  <si>
    <t>Alta</t>
  </si>
  <si>
    <t>Seguida por música</t>
  </si>
  <si>
    <t>Música</t>
  </si>
  <si>
    <t>Baja</t>
  </si>
  <si>
    <t>Pocos municipios con datos</t>
  </si>
  <si>
    <t>Concentrado en Pueblo Bello</t>
  </si>
  <si>
    <t>Montería domina</t>
  </si>
  <si>
    <t>Especialmente Chía y Sopó</t>
  </si>
  <si>
    <t>Alta también en danza</t>
  </si>
  <si>
    <t>Solo Pitalito aporta</t>
  </si>
  <si>
    <t>Muy cercano con otras disciplinas</t>
  </si>
  <si>
    <t>Santa Marta concentra</t>
  </si>
  <si>
    <t>Dominado por San Juan de Arama</t>
  </si>
  <si>
    <t>Ipiales domina completamente</t>
  </si>
  <si>
    <t>Cúcuta concentra</t>
  </si>
  <si>
    <t>Armenia domina</t>
  </si>
  <si>
    <t>Pereira concentra</t>
  </si>
  <si>
    <t>Muy influenciado por Barrancabermeja</t>
  </si>
  <si>
    <t>Ibagué</t>
  </si>
  <si>
    <t>Cali domina fuertemente</t>
  </si>
  <si>
    <t>Único municipio</t>
  </si>
  <si>
    <t>San Andrés</t>
  </si>
  <si>
    <t>Único registro</t>
  </si>
  <si>
    <t>Teatro</t>
  </si>
  <si>
    <t>Leticia</t>
  </si>
  <si>
    <t>Sin registros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</si>
</sst>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1"/>
      <color theme="1"/>
      <name val="Arial"/>
    </font>
    <font>
      <sz val="10"/>
      <name val="Arial"/>
    </font>
    <font>
      <sz val="11"/>
      <color theme="1"/>
      <name val="Aptos Narrow"/>
    </font>
    <font>
      <sz val="11"/>
      <color theme="1"/>
      <name val="Arial"/>
    </font>
    <font>
      <sz val="12"/>
      <color theme="1"/>
      <name val="Aptos Narrow"/>
    </font>
    <font>
      <b/>
      <sz val="11"/>
      <color theme="1"/>
      <name val="Aptos Narrow"/>
    </font>
  </fonts>
  <fills count="8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7" tint="0.39997558519241921"/>
        <bgColor rgb="FF93C47D"/>
      </patternFill>
    </fill>
    <fill>
      <patternFill patternType="solid">
        <fgColor theme="7" tint="0.39997558519241921"/>
        <bgColor rgb="FFC9DAF8"/>
      </patternFill>
    </fill>
    <fill>
      <patternFill patternType="solid">
        <fgColor theme="7" tint="0.39997558519241921"/>
        <bgColor rgb="FFB6D7A8"/>
      </patternFill>
    </fill>
    <fill>
      <patternFill patternType="solid">
        <fgColor theme="7" tint="0.39997558519241921"/>
        <bgColor rgb="FFCFE2F3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0" borderId="0" xfId="0" applyFont="1"/>
    <xf numFmtId="0" fontId="3" fillId="2" borderId="3" xfId="0" applyFont="1" applyFill="1" applyBorder="1"/>
    <xf numFmtId="0" fontId="4" fillId="0" borderId="4" xfId="0" applyFont="1" applyBorder="1" applyAlignment="1">
      <alignment horizontal="right"/>
    </xf>
    <xf numFmtId="0" fontId="1" fillId="2" borderId="1" xfId="0" applyFont="1" applyFill="1" applyBorder="1"/>
    <xf numFmtId="0" fontId="4" fillId="2" borderId="4" xfId="0" applyFont="1" applyFill="1" applyBorder="1"/>
    <xf numFmtId="0" fontId="4" fillId="0" borderId="4" xfId="0" applyFont="1" applyBorder="1"/>
    <xf numFmtId="0" fontId="4" fillId="0" borderId="4" xfId="0" applyFont="1" applyBorder="1" applyAlignment="1">
      <alignment horizontal="center"/>
    </xf>
    <xf numFmtId="10" fontId="4" fillId="0" borderId="3" xfId="0" applyNumberFormat="1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10" fontId="4" fillId="0" borderId="4" xfId="0" applyNumberFormat="1" applyFont="1" applyBorder="1" applyAlignment="1">
      <alignment horizontal="right"/>
    </xf>
    <xf numFmtId="10" fontId="3" fillId="0" borderId="4" xfId="0" applyNumberFormat="1" applyFont="1" applyBorder="1" applyAlignment="1">
      <alignment horizontal="right"/>
    </xf>
    <xf numFmtId="0" fontId="4" fillId="0" borderId="0" xfId="0" applyFont="1"/>
    <xf numFmtId="9" fontId="3" fillId="0" borderId="0" xfId="0" applyNumberFormat="1" applyFont="1"/>
    <xf numFmtId="0" fontId="3" fillId="0" borderId="4" xfId="0" applyFont="1" applyBorder="1"/>
    <xf numFmtId="3" fontId="4" fillId="0" borderId="4" xfId="0" applyNumberFormat="1" applyFont="1" applyBorder="1" applyAlignment="1">
      <alignment horizontal="center"/>
    </xf>
    <xf numFmtId="10" fontId="3" fillId="0" borderId="0" xfId="0" applyNumberFormat="1" applyFont="1"/>
    <xf numFmtId="0" fontId="1" fillId="3" borderId="4" xfId="0" applyFont="1" applyFill="1" applyBorder="1"/>
    <xf numFmtId="0" fontId="3" fillId="3" borderId="4" xfId="0" applyFont="1" applyFill="1" applyBorder="1"/>
    <xf numFmtId="0" fontId="3" fillId="2" borderId="4" xfId="0" applyFont="1" applyFill="1" applyBorder="1"/>
    <xf numFmtId="0" fontId="1" fillId="2" borderId="5" xfId="0" applyFont="1" applyFill="1" applyBorder="1"/>
    <xf numFmtId="0" fontId="1" fillId="0" borderId="4" xfId="0" applyFont="1" applyBorder="1" applyAlignment="1">
      <alignment horizontal="right"/>
    </xf>
    <xf numFmtId="0" fontId="1" fillId="2" borderId="4" xfId="0" applyFont="1" applyFill="1" applyBorder="1"/>
    <xf numFmtId="0" fontId="5" fillId="0" borderId="0" xfId="0" applyFont="1"/>
    <xf numFmtId="10" fontId="3" fillId="0" borderId="4" xfId="0" applyNumberFormat="1" applyFont="1" applyBorder="1"/>
    <xf numFmtId="0" fontId="6" fillId="2" borderId="4" xfId="0" applyFont="1" applyFill="1" applyBorder="1"/>
    <xf numFmtId="0" fontId="1" fillId="2" borderId="4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10" fontId="3" fillId="0" borderId="4" xfId="0" applyNumberFormat="1" applyFont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10" fontId="4" fillId="0" borderId="4" xfId="0" applyNumberFormat="1" applyFont="1" applyBorder="1" applyAlignment="1">
      <alignment horizontal="center"/>
    </xf>
    <xf numFmtId="0" fontId="3" fillId="0" borderId="4" xfId="0" applyFont="1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4" borderId="1" xfId="0" applyFont="1" applyFill="1" applyBorder="1"/>
    <xf numFmtId="0" fontId="3" fillId="5" borderId="2" xfId="0" applyFont="1" applyFill="1" applyBorder="1"/>
    <xf numFmtId="0" fontId="3" fillId="5" borderId="3" xfId="0" applyFont="1" applyFill="1" applyBorder="1"/>
    <xf numFmtId="0" fontId="1" fillId="6" borderId="1" xfId="0" applyFont="1" applyFill="1" applyBorder="1"/>
    <xf numFmtId="0" fontId="3" fillId="7" borderId="2" xfId="0" applyFont="1" applyFill="1" applyBorder="1"/>
    <xf numFmtId="0" fontId="4" fillId="5" borderId="2" xfId="0" applyFont="1" applyFill="1" applyBorder="1"/>
    <xf numFmtId="0" fontId="4" fillId="5" borderId="4" xfId="0" applyFont="1" applyFill="1" applyBorder="1"/>
    <xf numFmtId="0" fontId="3" fillId="5" borderId="3" xfId="0" applyFont="1" applyFill="1" applyBorder="1" applyAlignment="1">
      <alignment horizontal="center"/>
    </xf>
    <xf numFmtId="0" fontId="1" fillId="5" borderId="1" xfId="0" applyFont="1" applyFill="1" applyBorder="1"/>
    <xf numFmtId="0" fontId="1" fillId="6" borderId="5" xfId="0" applyFont="1" applyFill="1" applyBorder="1"/>
    <xf numFmtId="0" fontId="3" fillId="5" borderId="6" xfId="0" applyFont="1" applyFill="1" applyBorder="1"/>
    <xf numFmtId="0" fontId="1" fillId="6" borderId="7" xfId="0" applyFont="1" applyFill="1" applyBorder="1"/>
    <xf numFmtId="0" fontId="3" fillId="5" borderId="8" xfId="0" applyFont="1" applyFill="1" applyBorder="1"/>
    <xf numFmtId="0" fontId="3" fillId="5" borderId="4" xfId="0" applyFont="1" applyFill="1" applyBorder="1"/>
    <xf numFmtId="0" fontId="1" fillId="6" borderId="4" xfId="0" applyFont="1" applyFill="1" applyBorder="1" applyAlignment="1">
      <alignment horizontal="center"/>
    </xf>
    <xf numFmtId="0" fontId="1" fillId="6" borderId="4" xfId="0" applyFont="1" applyFill="1" applyBorder="1"/>
    <xf numFmtId="0" fontId="3" fillId="6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75"/>
  <sheetViews>
    <sheetView tabSelected="1" workbookViewId="0">
      <selection activeCell="A19" sqref="A19"/>
    </sheetView>
  </sheetViews>
  <sheetFormatPr baseColWidth="10" defaultColWidth="12.6640625" defaultRowHeight="15.75" customHeight="1" x14ac:dyDescent="0.15"/>
  <cols>
    <col min="1" max="1" width="33.33203125" customWidth="1"/>
    <col min="3" max="3" width="26.1640625" customWidth="1"/>
    <col min="4" max="4" width="36.6640625" customWidth="1"/>
    <col min="5" max="5" width="28.6640625" customWidth="1"/>
    <col min="6" max="6" width="25" customWidth="1"/>
    <col min="7" max="8" width="12.1640625" customWidth="1"/>
    <col min="9" max="9" width="18.83203125" customWidth="1"/>
    <col min="10" max="10" width="19" customWidth="1"/>
    <col min="11" max="11" width="17.1640625" customWidth="1"/>
  </cols>
  <sheetData>
    <row r="1" spans="1:27" x14ac:dyDescent="0.2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4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x14ac:dyDescent="0.2">
      <c r="A3" s="35" t="s">
        <v>1</v>
      </c>
      <c r="B3" s="36"/>
      <c r="C3" s="37"/>
      <c r="D3" s="3">
        <v>169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x14ac:dyDescent="0.2">
      <c r="A5" s="38" t="s">
        <v>2</v>
      </c>
      <c r="B5" s="36"/>
      <c r="C5" s="37"/>
      <c r="D5" s="3">
        <v>11106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2">
      <c r="A7" s="4" t="s">
        <v>3</v>
      </c>
      <c r="B7" s="2"/>
      <c r="C7" s="5" t="s">
        <v>4</v>
      </c>
      <c r="D7" s="6" t="s">
        <v>5</v>
      </c>
      <c r="E7" s="6" t="s">
        <v>6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x14ac:dyDescent="0.2">
      <c r="A8" s="1"/>
      <c r="B8" s="1"/>
      <c r="C8" s="5" t="s">
        <v>7</v>
      </c>
      <c r="D8" s="6" t="s">
        <v>8</v>
      </c>
      <c r="E8" s="6" t="s">
        <v>9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x14ac:dyDescent="0.2">
      <c r="A10" s="38" t="s">
        <v>10</v>
      </c>
      <c r="B10" s="36"/>
      <c r="C10" s="37"/>
      <c r="D10" s="7" t="s">
        <v>11</v>
      </c>
      <c r="E10" s="6" t="s">
        <v>12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2">
      <c r="A12" s="38" t="s">
        <v>13</v>
      </c>
      <c r="B12" s="36"/>
      <c r="C12" s="37"/>
      <c r="D12" s="7">
        <v>152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x14ac:dyDescent="0.2">
      <c r="A14" s="38" t="s">
        <v>14</v>
      </c>
      <c r="B14" s="39"/>
      <c r="C14" s="40" t="s">
        <v>15</v>
      </c>
      <c r="D14" s="8">
        <v>9.4273365748244187E-2</v>
      </c>
      <c r="E14" s="9">
        <v>1047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x14ac:dyDescent="0.2">
      <c r="A15" s="1"/>
      <c r="B15" s="1"/>
      <c r="C15" s="41" t="s">
        <v>16</v>
      </c>
      <c r="D15" s="10">
        <v>0.48046101206555014</v>
      </c>
      <c r="E15" s="3">
        <v>5336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x14ac:dyDescent="0.2">
      <c r="A16" s="1"/>
      <c r="B16" s="1"/>
      <c r="C16" s="41" t="s">
        <v>17</v>
      </c>
      <c r="D16" s="10">
        <v>0.33306320907617504</v>
      </c>
      <c r="E16" s="3">
        <v>3699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x14ac:dyDescent="0.2">
      <c r="A17" s="1"/>
      <c r="B17" s="1"/>
      <c r="C17" s="41" t="s">
        <v>18</v>
      </c>
      <c r="D17" s="10">
        <v>9.220241311003062E-2</v>
      </c>
      <c r="E17" s="3">
        <v>1024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2">
      <c r="A19" s="38" t="s">
        <v>19</v>
      </c>
      <c r="B19" s="37"/>
      <c r="C19" s="42" t="s">
        <v>20</v>
      </c>
      <c r="D19" s="42" t="s">
        <v>21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2">
      <c r="A20" s="1"/>
      <c r="B20" s="1"/>
      <c r="C20" s="6" t="s">
        <v>22</v>
      </c>
      <c r="D20" s="11">
        <v>0.183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x14ac:dyDescent="0.2">
      <c r="A21" s="1"/>
      <c r="B21" s="1"/>
      <c r="C21" s="6" t="s">
        <v>23</v>
      </c>
      <c r="D21" s="11">
        <v>0.28399999999999997</v>
      </c>
      <c r="E21" s="12" t="s">
        <v>24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x14ac:dyDescent="0.2">
      <c r="A22" s="1"/>
      <c r="B22" s="1"/>
      <c r="C22" s="6" t="s">
        <v>25</v>
      </c>
      <c r="D22" s="11">
        <v>0.32500000000000001</v>
      </c>
      <c r="E22" s="12" t="s">
        <v>26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x14ac:dyDescent="0.2">
      <c r="A23" s="1"/>
      <c r="B23" s="1"/>
      <c r="C23" s="6" t="s">
        <v>27</v>
      </c>
      <c r="D23" s="11">
        <v>0.20699999999999999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x14ac:dyDescent="0.2">
      <c r="A24" s="1"/>
      <c r="B24" s="1"/>
      <c r="C24" s="1"/>
      <c r="D24" s="1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x14ac:dyDescent="0.2">
      <c r="A25" s="43" t="s">
        <v>28</v>
      </c>
      <c r="B25" s="37"/>
      <c r="C25" s="42" t="s">
        <v>29</v>
      </c>
      <c r="D25" s="42" t="s">
        <v>30</v>
      </c>
      <c r="E25" s="12" t="s">
        <v>31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x14ac:dyDescent="0.2">
      <c r="A26" s="1"/>
      <c r="B26" s="1"/>
      <c r="C26" s="14" t="s">
        <v>32</v>
      </c>
      <c r="D26" s="7" t="s">
        <v>33</v>
      </c>
      <c r="E26" s="1" t="s">
        <v>34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x14ac:dyDescent="0.2">
      <c r="A27" s="1"/>
      <c r="B27" s="1"/>
      <c r="C27" s="14" t="s">
        <v>16</v>
      </c>
      <c r="D27" s="7" t="s">
        <v>35</v>
      </c>
      <c r="E27" s="1" t="s">
        <v>36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x14ac:dyDescent="0.2">
      <c r="A28" s="1"/>
      <c r="B28" s="1"/>
      <c r="C28" s="14" t="s">
        <v>15</v>
      </c>
      <c r="D28" s="15" t="s">
        <v>37</v>
      </c>
      <c r="E28" s="1" t="s">
        <v>38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x14ac:dyDescent="0.2">
      <c r="A29" s="1"/>
      <c r="B29" s="1"/>
      <c r="C29" s="14" t="s">
        <v>39</v>
      </c>
      <c r="D29" s="7" t="s">
        <v>40</v>
      </c>
      <c r="E29" s="1" t="s">
        <v>41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x14ac:dyDescent="0.2">
      <c r="A30" s="1"/>
      <c r="B30" s="1"/>
      <c r="C30" s="14" t="s">
        <v>18</v>
      </c>
      <c r="D30" s="7" t="s">
        <v>42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x14ac:dyDescent="0.2">
      <c r="A31" s="1"/>
      <c r="B31" s="1"/>
      <c r="C31" s="1"/>
      <c r="D31" s="13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x14ac:dyDescent="0.2">
      <c r="A32" s="4" t="s">
        <v>43</v>
      </c>
      <c r="B32" s="2"/>
      <c r="C32" s="5" t="s">
        <v>44</v>
      </c>
      <c r="D32" s="10">
        <v>0.16007368625169671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x14ac:dyDescent="0.2">
      <c r="A33" s="1"/>
      <c r="B33" s="1"/>
      <c r="C33" s="5" t="s">
        <v>45</v>
      </c>
      <c r="D33" s="10">
        <v>0.83992631374830329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x14ac:dyDescent="0.2">
      <c r="A35" s="38" t="s">
        <v>46</v>
      </c>
      <c r="B35" s="37"/>
      <c r="C35" s="41" t="s">
        <v>47</v>
      </c>
      <c r="D35" s="10">
        <v>0.44869999999999999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x14ac:dyDescent="0.2">
      <c r="A36" s="1"/>
      <c r="B36" s="1"/>
      <c r="C36" s="41" t="s">
        <v>48</v>
      </c>
      <c r="D36" s="10">
        <v>0.54990000000000006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x14ac:dyDescent="0.2">
      <c r="A37" s="1"/>
      <c r="B37" s="1"/>
      <c r="C37" s="41" t="s">
        <v>49</v>
      </c>
      <c r="D37" s="10">
        <v>1.4E-3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x14ac:dyDescent="0.2">
      <c r="A39" s="1"/>
      <c r="B39" s="1"/>
      <c r="C39" s="1"/>
      <c r="D39" s="16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x14ac:dyDescent="0.2">
      <c r="A40" s="4" t="s">
        <v>50</v>
      </c>
      <c r="B40" s="4" t="s">
        <v>15</v>
      </c>
      <c r="C40" s="5" t="s">
        <v>51</v>
      </c>
      <c r="D40" s="10">
        <f>641/1047</f>
        <v>0.61222540592168095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x14ac:dyDescent="0.2">
      <c r="A41" s="12" t="s">
        <v>52</v>
      </c>
      <c r="B41" s="1"/>
      <c r="C41" s="5" t="s">
        <v>53</v>
      </c>
      <c r="D41" s="10">
        <f>406/1047</f>
        <v>0.38777459407831899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x14ac:dyDescent="0.2">
      <c r="A42" s="12" t="s">
        <v>54</v>
      </c>
      <c r="B42" s="4" t="s">
        <v>16</v>
      </c>
      <c r="C42" s="5" t="s">
        <v>51</v>
      </c>
      <c r="D42" s="10">
        <f>2389/5332</f>
        <v>0.44804951237809454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x14ac:dyDescent="0.2">
      <c r="A43" s="1"/>
      <c r="B43" s="1"/>
      <c r="C43" s="5" t="s">
        <v>53</v>
      </c>
      <c r="D43" s="10">
        <f>2943/5332</f>
        <v>0.55195048762190546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x14ac:dyDescent="0.2">
      <c r="A44" s="1"/>
      <c r="B44" s="1"/>
      <c r="C44" s="5" t="s">
        <v>55</v>
      </c>
      <c r="D44" s="10">
        <f>9/5332</f>
        <v>1.6879219804951237E-3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x14ac:dyDescent="0.2">
      <c r="A45" s="1"/>
      <c r="B45" s="4" t="s">
        <v>39</v>
      </c>
      <c r="C45" s="5" t="s">
        <v>51</v>
      </c>
      <c r="D45" s="10">
        <f>1606/3694</f>
        <v>0.43475906876015158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x14ac:dyDescent="0.2">
      <c r="A46" s="1"/>
      <c r="B46" s="1"/>
      <c r="C46" s="5" t="s">
        <v>53</v>
      </c>
      <c r="D46" s="10">
        <f>2081/3694</f>
        <v>0.56334596643205193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x14ac:dyDescent="0.2">
      <c r="A47" s="1"/>
      <c r="B47" s="1"/>
      <c r="C47" s="5" t="s">
        <v>55</v>
      </c>
      <c r="D47" s="10">
        <f>7/3694</f>
        <v>1.8949648077964266E-3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x14ac:dyDescent="0.2">
      <c r="A48" s="1"/>
      <c r="B48" s="4" t="s">
        <v>18</v>
      </c>
      <c r="C48" s="5" t="s">
        <v>51</v>
      </c>
      <c r="D48" s="10">
        <f>343/1024</f>
        <v>0.3349609375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x14ac:dyDescent="0.2">
      <c r="A49" s="1"/>
      <c r="B49" s="1"/>
      <c r="C49" s="5" t="s">
        <v>53</v>
      </c>
      <c r="D49" s="10">
        <f>681/1024</f>
        <v>0.6650390625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x14ac:dyDescent="0.2">
      <c r="A50" s="1"/>
      <c r="B50" s="1"/>
      <c r="C50" s="1"/>
      <c r="D50" s="16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x14ac:dyDescent="0.2">
      <c r="A51" s="17" t="s">
        <v>56</v>
      </c>
      <c r="B51" s="18"/>
      <c r="C51" s="19" t="s">
        <v>57</v>
      </c>
      <c r="D51" s="11">
        <v>0.54584300975383182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x14ac:dyDescent="0.2">
      <c r="A52" s="1"/>
      <c r="B52" s="1"/>
      <c r="C52" s="19" t="s">
        <v>58</v>
      </c>
      <c r="D52" s="11">
        <v>0.4440315838365072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x14ac:dyDescent="0.2">
      <c r="A53" s="1"/>
      <c r="B53" s="1"/>
      <c r="C53" s="19" t="s">
        <v>59</v>
      </c>
      <c r="D53" s="11">
        <v>8.2675336739433357E-3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x14ac:dyDescent="0.2">
      <c r="A54" s="1"/>
      <c r="B54" s="1"/>
      <c r="C54" s="19" t="s">
        <v>60</v>
      </c>
      <c r="D54" s="11">
        <v>4.6446818392940084E-4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x14ac:dyDescent="0.2">
      <c r="A55" s="1"/>
      <c r="B55" s="1"/>
      <c r="C55" s="19" t="s">
        <v>61</v>
      </c>
      <c r="D55" s="11">
        <v>1.3005109150023223E-3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x14ac:dyDescent="0.2">
      <c r="A56" s="1"/>
      <c r="B56" s="1"/>
      <c r="C56" s="19" t="s">
        <v>62</v>
      </c>
      <c r="D56" s="11">
        <v>9.2893636785880163E-5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x14ac:dyDescent="0.2">
      <c r="A57" s="1"/>
      <c r="B57" s="1"/>
      <c r="C57" s="1"/>
      <c r="D57" s="16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x14ac:dyDescent="0.2">
      <c r="A58" s="4" t="s">
        <v>63</v>
      </c>
      <c r="B58" s="2"/>
      <c r="C58" s="19" t="s">
        <v>64</v>
      </c>
      <c r="D58" s="11">
        <v>1.1749819233550253E-3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x14ac:dyDescent="0.2">
      <c r="A59" s="1"/>
      <c r="B59" s="1"/>
      <c r="C59" s="19" t="s">
        <v>65</v>
      </c>
      <c r="D59" s="11">
        <v>6.3177874186550978E-2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x14ac:dyDescent="0.2">
      <c r="A60" s="1"/>
      <c r="B60" s="1"/>
      <c r="C60" s="19" t="s">
        <v>66</v>
      </c>
      <c r="D60" s="11">
        <v>0.11921547360809834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x14ac:dyDescent="0.2">
      <c r="A61" s="1"/>
      <c r="B61" s="1"/>
      <c r="C61" s="19" t="s">
        <v>67</v>
      </c>
      <c r="D61" s="11">
        <v>0.80612798264642083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x14ac:dyDescent="0.2">
      <c r="A62" s="1"/>
      <c r="B62" s="1"/>
      <c r="C62" s="19" t="s">
        <v>68</v>
      </c>
      <c r="D62" s="11">
        <v>7.7729573391178601E-3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x14ac:dyDescent="0.2">
      <c r="A63" s="1"/>
      <c r="B63" s="1"/>
      <c r="C63" s="19" t="s">
        <v>69</v>
      </c>
      <c r="D63" s="11">
        <v>2.5307302964569776E-3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x14ac:dyDescent="0.2">
      <c r="A64" s="1"/>
      <c r="B64" s="1"/>
      <c r="C64" s="1"/>
      <c r="D64" s="16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x14ac:dyDescent="0.2">
      <c r="A65" s="4" t="s">
        <v>70</v>
      </c>
      <c r="B65" s="2"/>
      <c r="C65" s="5" t="s">
        <v>71</v>
      </c>
      <c r="D65" s="11">
        <v>0.88156690463115506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x14ac:dyDescent="0.2">
      <c r="A66" s="1"/>
      <c r="B66" s="1"/>
      <c r="C66" s="5" t="s">
        <v>72</v>
      </c>
      <c r="D66" s="11">
        <v>0.11843309536884496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x14ac:dyDescent="0.2">
      <c r="A67" s="1"/>
      <c r="B67" s="1"/>
      <c r="C67" s="1"/>
      <c r="D67" s="16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x14ac:dyDescent="0.2">
      <c r="A68" s="4" t="s">
        <v>73</v>
      </c>
      <c r="B68" s="2"/>
      <c r="C68" s="5" t="s">
        <v>71</v>
      </c>
      <c r="D68" s="11">
        <v>0.95579061567670187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x14ac:dyDescent="0.2">
      <c r="A69" s="1"/>
      <c r="B69" s="1"/>
      <c r="C69" s="5" t="s">
        <v>72</v>
      </c>
      <c r="D69" s="11">
        <v>4.4209384323298073E-2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x14ac:dyDescent="0.2">
      <c r="A71" s="4" t="s">
        <v>74</v>
      </c>
      <c r="B71" s="2"/>
      <c r="C71" s="5" t="s">
        <v>71</v>
      </c>
      <c r="D71" s="11">
        <v>0.97716224892231496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x14ac:dyDescent="0.2">
      <c r="A72" s="1"/>
      <c r="B72" s="1"/>
      <c r="C72" s="5" t="s">
        <v>72</v>
      </c>
      <c r="D72" s="11">
        <v>2.2837751077685042E-2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x14ac:dyDescent="0.2">
      <c r="A74" s="4" t="s">
        <v>75</v>
      </c>
      <c r="B74" s="2"/>
      <c r="C74" s="2" t="s">
        <v>76</v>
      </c>
      <c r="D74" s="11">
        <v>1.8068479537446924E-4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x14ac:dyDescent="0.2">
      <c r="A75" s="1"/>
      <c r="B75" s="1"/>
      <c r="C75" s="2" t="s">
        <v>77</v>
      </c>
      <c r="D75" s="11">
        <v>9.6666365525341046E-3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x14ac:dyDescent="0.2">
      <c r="A76" s="1"/>
      <c r="B76" s="1"/>
      <c r="C76" s="19" t="s">
        <v>78</v>
      </c>
      <c r="D76" s="11">
        <v>9.0342397687234621E-5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x14ac:dyDescent="0.2">
      <c r="A77" s="1"/>
      <c r="B77" s="1"/>
      <c r="C77" s="19" t="s">
        <v>79</v>
      </c>
      <c r="D77" s="11">
        <v>5.6915710542957808E-3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x14ac:dyDescent="0.2">
      <c r="A78" s="1"/>
      <c r="B78" s="1"/>
      <c r="C78" s="19" t="s">
        <v>80</v>
      </c>
      <c r="D78" s="11">
        <v>0.91887252687686327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x14ac:dyDescent="0.2">
      <c r="A79" s="1"/>
      <c r="B79" s="1"/>
      <c r="C79" s="19" t="s">
        <v>81</v>
      </c>
      <c r="D79" s="11">
        <v>2.4392447375553346E-3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x14ac:dyDescent="0.2">
      <c r="A80" s="1"/>
      <c r="B80" s="1"/>
      <c r="C80" s="19" t="s">
        <v>59</v>
      </c>
      <c r="D80" s="11">
        <v>6.242659680187912E-2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x14ac:dyDescent="0.2">
      <c r="A81" s="1"/>
      <c r="B81" s="1"/>
      <c r="C81" s="19" t="s">
        <v>82</v>
      </c>
      <c r="D81" s="11">
        <v>6.3239678381064228E-4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x14ac:dyDescent="0.2">
      <c r="A83" s="4" t="s">
        <v>83</v>
      </c>
      <c r="B83" s="2"/>
      <c r="C83" s="5" t="s">
        <v>71</v>
      </c>
      <c r="D83" s="11">
        <v>0.97578002564467869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x14ac:dyDescent="0.2">
      <c r="A84" s="1"/>
      <c r="B84" s="1"/>
      <c r="C84" s="5" t="s">
        <v>72</v>
      </c>
      <c r="D84" s="11">
        <v>2.4219974355321271E-2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x14ac:dyDescent="0.2">
      <c r="A85" s="1"/>
      <c r="B85" s="1"/>
      <c r="C85" s="1"/>
      <c r="D85" s="16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x14ac:dyDescent="0.2">
      <c r="A86" s="44" t="s">
        <v>84</v>
      </c>
      <c r="B86" s="45"/>
      <c r="C86" s="37" t="s">
        <v>85</v>
      </c>
      <c r="D86" s="11">
        <v>0.19889913716155905</v>
      </c>
      <c r="E86" s="12" t="s">
        <v>86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x14ac:dyDescent="0.2">
      <c r="A87" s="46" t="s">
        <v>87</v>
      </c>
      <c r="B87" s="47"/>
      <c r="C87" s="37" t="s">
        <v>88</v>
      </c>
      <c r="D87" s="11">
        <v>2.0529604284439156E-2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x14ac:dyDescent="0.2">
      <c r="A88" s="1"/>
      <c r="B88" s="1"/>
      <c r="C88" s="48" t="s">
        <v>89</v>
      </c>
      <c r="D88" s="11">
        <v>1.4132698601606665E-2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x14ac:dyDescent="0.2">
      <c r="A89" s="1"/>
      <c r="B89" s="1"/>
      <c r="C89" s="48" t="s">
        <v>90</v>
      </c>
      <c r="D89" s="11">
        <v>0.30258851532282061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x14ac:dyDescent="0.2">
      <c r="A90" s="1"/>
      <c r="B90" s="1"/>
      <c r="C90" s="48" t="s">
        <v>91</v>
      </c>
      <c r="D90" s="11">
        <v>4.7604879500148765E-3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x14ac:dyDescent="0.2">
      <c r="A91" s="1"/>
      <c r="B91" s="1"/>
      <c r="C91" s="48" t="s">
        <v>92</v>
      </c>
      <c r="D91" s="11">
        <v>0.27194287414459983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x14ac:dyDescent="0.2">
      <c r="A92" s="1"/>
      <c r="B92" s="1"/>
      <c r="C92" s="48" t="s">
        <v>93</v>
      </c>
      <c r="D92" s="11">
        <v>0.1639393037786373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x14ac:dyDescent="0.2">
      <c r="A93" s="1"/>
      <c r="B93" s="1"/>
      <c r="C93" s="48" t="s">
        <v>94</v>
      </c>
      <c r="D93" s="11">
        <v>2.3207378756322523E-2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x14ac:dyDescent="0.2">
      <c r="A95" s="20" t="s">
        <v>95</v>
      </c>
      <c r="B95" s="20"/>
      <c r="C95" s="2" t="s">
        <v>96</v>
      </c>
      <c r="D95" s="11">
        <v>2.2503725782414306E-2</v>
      </c>
      <c r="E95" s="1"/>
      <c r="F95" s="16"/>
      <c r="G95" s="1"/>
      <c r="H95" s="1"/>
      <c r="I95" s="16"/>
      <c r="J95" s="16"/>
      <c r="K95" s="16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x14ac:dyDescent="0.2">
      <c r="A96" s="20" t="s">
        <v>97</v>
      </c>
      <c r="B96" s="20"/>
      <c r="C96" s="2" t="s">
        <v>98</v>
      </c>
      <c r="D96" s="11">
        <v>0.33740685543964233</v>
      </c>
      <c r="E96" s="12" t="s">
        <v>99</v>
      </c>
      <c r="F96" s="16"/>
      <c r="G96" s="1"/>
      <c r="H96" s="1"/>
      <c r="I96" s="16"/>
      <c r="J96" s="16"/>
      <c r="K96" s="16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x14ac:dyDescent="0.2">
      <c r="A97" s="1"/>
      <c r="B97" s="1"/>
      <c r="C97" s="19" t="s">
        <v>100</v>
      </c>
      <c r="D97" s="11">
        <v>0.21430700447093889</v>
      </c>
      <c r="E97" s="1"/>
      <c r="F97" s="16"/>
      <c r="G97" s="1"/>
      <c r="H97" s="1"/>
      <c r="I97" s="16"/>
      <c r="J97" s="16"/>
      <c r="K97" s="16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x14ac:dyDescent="0.2">
      <c r="A98" s="1"/>
      <c r="B98" s="1"/>
      <c r="C98" s="19" t="s">
        <v>101</v>
      </c>
      <c r="D98" s="11">
        <v>1.8181818181818181E-2</v>
      </c>
      <c r="E98" s="1"/>
      <c r="F98" s="16"/>
      <c r="G98" s="1"/>
      <c r="H98" s="1"/>
      <c r="I98" s="16"/>
      <c r="J98" s="16"/>
      <c r="K98" s="16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x14ac:dyDescent="0.2">
      <c r="A99" s="1"/>
      <c r="B99" s="1"/>
      <c r="C99" s="19" t="s">
        <v>102</v>
      </c>
      <c r="D99" s="11">
        <v>7.4515648286140089E-4</v>
      </c>
      <c r="E99" s="1"/>
      <c r="F99" s="16"/>
      <c r="G99" s="1"/>
      <c r="H99" s="1"/>
      <c r="I99" s="16"/>
      <c r="J99" s="16"/>
      <c r="K99" s="16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x14ac:dyDescent="0.2">
      <c r="A100" s="1"/>
      <c r="B100" s="1"/>
      <c r="C100" s="19" t="s">
        <v>93</v>
      </c>
      <c r="D100" s="11">
        <v>0.12727272727272726</v>
      </c>
      <c r="E100" s="1"/>
      <c r="F100" s="16"/>
      <c r="G100" s="1"/>
      <c r="H100" s="1"/>
      <c r="I100" s="16"/>
      <c r="J100" s="16"/>
      <c r="K100" s="16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x14ac:dyDescent="0.2">
      <c r="A101" s="1"/>
      <c r="B101" s="1"/>
      <c r="C101" s="19" t="s">
        <v>103</v>
      </c>
      <c r="D101" s="11">
        <v>4.6199701937406856E-2</v>
      </c>
      <c r="E101" s="1"/>
      <c r="F101" s="16"/>
      <c r="G101" s="1"/>
      <c r="H101" s="1"/>
      <c r="I101" s="16"/>
      <c r="J101" s="16"/>
      <c r="K101" s="16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x14ac:dyDescent="0.2">
      <c r="A102" s="1"/>
      <c r="B102" s="1"/>
      <c r="C102" s="19" t="s">
        <v>104</v>
      </c>
      <c r="D102" s="11">
        <v>0.22518628912071534</v>
      </c>
      <c r="E102" s="1"/>
      <c r="F102" s="16"/>
      <c r="G102" s="1"/>
      <c r="H102" s="1"/>
      <c r="I102" s="16"/>
      <c r="J102" s="16"/>
      <c r="K102" s="16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x14ac:dyDescent="0.2">
      <c r="A103" s="1"/>
      <c r="B103" s="1"/>
      <c r="C103" s="19" t="s">
        <v>94</v>
      </c>
      <c r="D103" s="11">
        <v>8.1967213114754103E-3</v>
      </c>
      <c r="E103" s="1"/>
      <c r="F103" s="16"/>
      <c r="G103" s="1"/>
      <c r="H103" s="1"/>
      <c r="I103" s="16"/>
      <c r="J103" s="16"/>
      <c r="K103" s="16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x14ac:dyDescent="0.2">
      <c r="A104" s="1"/>
      <c r="B104" s="1"/>
      <c r="C104" s="1"/>
      <c r="D104" s="1"/>
      <c r="E104" s="1"/>
      <c r="F104" s="16"/>
      <c r="G104" s="1"/>
      <c r="H104" s="1"/>
      <c r="I104" s="16"/>
      <c r="J104" s="16"/>
      <c r="K104" s="16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x14ac:dyDescent="0.2">
      <c r="A105" s="1"/>
      <c r="B105" s="1"/>
      <c r="C105" s="1"/>
      <c r="D105" s="1"/>
      <c r="E105" s="1"/>
      <c r="F105" s="16"/>
      <c r="G105" s="1"/>
      <c r="H105" s="1"/>
      <c r="I105" s="16"/>
      <c r="J105" s="16"/>
      <c r="K105" s="16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x14ac:dyDescent="0.2">
      <c r="A106" s="1"/>
      <c r="B106" s="1"/>
      <c r="C106" s="1"/>
      <c r="D106" s="1"/>
      <c r="E106" s="1"/>
      <c r="F106" s="16"/>
      <c r="G106" s="1"/>
      <c r="H106" s="1"/>
      <c r="I106" s="16"/>
      <c r="J106" s="16"/>
      <c r="K106" s="16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x14ac:dyDescent="0.2">
      <c r="A107" s="50" t="s">
        <v>105</v>
      </c>
      <c r="B107" s="51"/>
      <c r="C107" s="50" t="s">
        <v>106</v>
      </c>
      <c r="D107" s="21">
        <v>30</v>
      </c>
      <c r="E107" s="22" t="s">
        <v>107</v>
      </c>
      <c r="F107" s="22" t="s">
        <v>108</v>
      </c>
      <c r="G107" s="1"/>
      <c r="H107" s="22" t="s">
        <v>109</v>
      </c>
      <c r="I107" s="22" t="s">
        <v>110</v>
      </c>
      <c r="J107" s="22" t="s">
        <v>111</v>
      </c>
      <c r="K107" s="23" t="s">
        <v>112</v>
      </c>
      <c r="L107" s="1"/>
      <c r="M107" s="1"/>
      <c r="N107" s="1"/>
      <c r="O107" s="1"/>
      <c r="P107" s="1"/>
      <c r="Q107" s="1"/>
    </row>
    <row r="108" spans="1:27" x14ac:dyDescent="0.2">
      <c r="A108" s="1"/>
      <c r="B108" s="1"/>
      <c r="C108" s="50" t="s">
        <v>113</v>
      </c>
      <c r="D108" s="21">
        <v>109</v>
      </c>
      <c r="E108" s="19" t="s">
        <v>114</v>
      </c>
      <c r="F108" s="11">
        <v>1.4957067676114856E-2</v>
      </c>
      <c r="G108" s="1"/>
      <c r="H108" s="24" t="s">
        <v>115</v>
      </c>
      <c r="I108" s="24" t="s">
        <v>116</v>
      </c>
      <c r="J108" s="24" t="s">
        <v>117</v>
      </c>
      <c r="K108" s="1"/>
      <c r="L108" s="1"/>
      <c r="M108" s="1"/>
      <c r="N108" s="1"/>
      <c r="O108" s="1"/>
      <c r="P108" s="1"/>
      <c r="Q108" s="1"/>
    </row>
    <row r="109" spans="1:27" x14ac:dyDescent="0.2">
      <c r="A109" s="1"/>
      <c r="B109" s="1"/>
      <c r="C109" s="50" t="s">
        <v>118</v>
      </c>
      <c r="D109" s="21">
        <v>59</v>
      </c>
      <c r="E109" s="19" t="s">
        <v>119</v>
      </c>
      <c r="F109" s="11">
        <v>1.5695688302095835E-3</v>
      </c>
      <c r="G109" s="1"/>
      <c r="H109" s="24" t="s">
        <v>120</v>
      </c>
      <c r="I109" s="24" t="s">
        <v>116</v>
      </c>
      <c r="J109" s="24" t="s">
        <v>117</v>
      </c>
      <c r="K109" s="1"/>
      <c r="L109" s="1"/>
      <c r="M109" s="1"/>
      <c r="N109" s="1"/>
      <c r="O109" s="1"/>
      <c r="P109" s="1"/>
      <c r="Q109" s="1"/>
    </row>
    <row r="110" spans="1:27" x14ac:dyDescent="0.2">
      <c r="A110" s="1"/>
      <c r="B110" s="1"/>
      <c r="C110" s="1"/>
      <c r="D110" s="1"/>
      <c r="E110" s="19" t="s">
        <v>121</v>
      </c>
      <c r="F110" s="11">
        <v>1.8465515649524513E-4</v>
      </c>
      <c r="G110" s="1"/>
      <c r="H110" s="24" t="s">
        <v>122</v>
      </c>
      <c r="I110" s="24" t="s">
        <v>116</v>
      </c>
      <c r="J110" s="24" t="s">
        <v>117</v>
      </c>
      <c r="K110" s="1"/>
      <c r="L110" s="1"/>
      <c r="M110" s="1"/>
      <c r="N110" s="1"/>
      <c r="O110" s="1"/>
      <c r="P110" s="1"/>
      <c r="Q110" s="1"/>
    </row>
    <row r="111" spans="1:27" x14ac:dyDescent="0.2">
      <c r="A111" s="1"/>
      <c r="B111" s="1"/>
      <c r="C111" s="1"/>
      <c r="D111" s="1"/>
      <c r="E111" s="19" t="s">
        <v>123</v>
      </c>
      <c r="F111" s="11">
        <v>1.7542239867048288E-3</v>
      </c>
      <c r="G111" s="1"/>
      <c r="H111" s="24" t="s">
        <v>124</v>
      </c>
      <c r="I111" s="24" t="s">
        <v>116</v>
      </c>
      <c r="J111" s="24" t="s">
        <v>117</v>
      </c>
      <c r="K111" s="1"/>
      <c r="L111" s="1"/>
      <c r="M111" s="1"/>
      <c r="N111" s="1"/>
      <c r="O111" s="1"/>
      <c r="P111" s="1"/>
      <c r="Q111" s="1"/>
    </row>
    <row r="112" spans="1:27" x14ac:dyDescent="0.2">
      <c r="A112" s="1"/>
      <c r="B112" s="1"/>
      <c r="C112" s="1"/>
      <c r="D112" s="1"/>
      <c r="E112" s="19" t="s">
        <v>125</v>
      </c>
      <c r="F112" s="11">
        <v>2.1235342996953192E-3</v>
      </c>
      <c r="G112" s="1"/>
      <c r="H112" s="24" t="s">
        <v>126</v>
      </c>
      <c r="I112" s="24" t="s">
        <v>116</v>
      </c>
      <c r="J112" s="24" t="s">
        <v>117</v>
      </c>
      <c r="K112" s="1"/>
      <c r="L112" s="1"/>
      <c r="M112" s="1"/>
      <c r="N112" s="1"/>
      <c r="O112" s="1"/>
      <c r="P112" s="1"/>
      <c r="Q112" s="1"/>
    </row>
    <row r="113" spans="1:17" x14ac:dyDescent="0.2">
      <c r="A113" s="1"/>
      <c r="B113" s="1"/>
      <c r="C113" s="1"/>
      <c r="D113" s="1"/>
      <c r="E113" s="19" t="s">
        <v>127</v>
      </c>
      <c r="F113" s="11">
        <v>9.2327578247622567E-5</v>
      </c>
      <c r="G113" s="1"/>
      <c r="H113" s="24" t="s">
        <v>128</v>
      </c>
      <c r="I113" s="24" t="s">
        <v>116</v>
      </c>
      <c r="J113" s="24" t="s">
        <v>117</v>
      </c>
      <c r="K113" s="1"/>
      <c r="L113" s="1"/>
      <c r="M113" s="1"/>
      <c r="N113" s="1"/>
      <c r="O113" s="1"/>
      <c r="P113" s="1"/>
      <c r="Q113" s="1"/>
    </row>
    <row r="114" spans="1:17" x14ac:dyDescent="0.2">
      <c r="A114" s="1"/>
      <c r="B114" s="1"/>
      <c r="C114" s="1"/>
      <c r="D114" s="1"/>
      <c r="E114" s="19" t="s">
        <v>129</v>
      </c>
      <c r="F114" s="11">
        <v>9.1404302465146331E-3</v>
      </c>
      <c r="G114" s="1"/>
      <c r="H114" s="24" t="s">
        <v>130</v>
      </c>
      <c r="I114" s="24" t="s">
        <v>116</v>
      </c>
      <c r="J114" s="24" t="s">
        <v>117</v>
      </c>
      <c r="K114" s="1"/>
      <c r="L114" s="1"/>
      <c r="M114" s="1"/>
      <c r="N114" s="1"/>
      <c r="O114" s="1"/>
      <c r="P114" s="1"/>
      <c r="Q114" s="1"/>
    </row>
    <row r="115" spans="1:17" x14ac:dyDescent="0.2">
      <c r="A115" s="1"/>
      <c r="B115" s="1"/>
      <c r="C115" s="1"/>
      <c r="D115" s="1"/>
      <c r="E115" s="19" t="s">
        <v>131</v>
      </c>
      <c r="F115" s="11">
        <v>3.2314652386667897E-3</v>
      </c>
      <c r="G115" s="1"/>
      <c r="H115" s="24" t="s">
        <v>132</v>
      </c>
      <c r="I115" s="24" t="s">
        <v>116</v>
      </c>
      <c r="J115" s="24" t="s">
        <v>117</v>
      </c>
      <c r="K115" s="1"/>
      <c r="L115" s="1"/>
      <c r="M115" s="1"/>
      <c r="N115" s="1"/>
      <c r="O115" s="1"/>
      <c r="P115" s="1"/>
      <c r="Q115" s="1"/>
    </row>
    <row r="116" spans="1:17" x14ac:dyDescent="0.2">
      <c r="A116" s="1"/>
      <c r="B116" s="1"/>
      <c r="C116" s="1"/>
      <c r="D116" s="1"/>
      <c r="E116" s="19" t="s">
        <v>133</v>
      </c>
      <c r="F116" s="11">
        <v>9.2327578247622562E-3</v>
      </c>
      <c r="G116" s="1"/>
      <c r="H116" s="24" t="s">
        <v>134</v>
      </c>
      <c r="I116" s="24" t="s">
        <v>116</v>
      </c>
      <c r="J116" s="24" t="s">
        <v>117</v>
      </c>
      <c r="K116" s="1"/>
      <c r="L116" s="1"/>
      <c r="M116" s="1"/>
      <c r="N116" s="1"/>
      <c r="O116" s="1"/>
      <c r="P116" s="1"/>
      <c r="Q116" s="1"/>
    </row>
    <row r="117" spans="1:17" x14ac:dyDescent="0.2">
      <c r="A117" s="1"/>
      <c r="B117" s="1"/>
      <c r="C117" s="1"/>
      <c r="D117" s="1"/>
      <c r="E117" s="19" t="s">
        <v>135</v>
      </c>
      <c r="F117" s="11">
        <v>1.6618964084572062E-3</v>
      </c>
      <c r="G117" s="1"/>
      <c r="H117" s="24" t="s">
        <v>136</v>
      </c>
      <c r="I117" s="24" t="s">
        <v>116</v>
      </c>
      <c r="J117" s="24" t="s">
        <v>137</v>
      </c>
      <c r="K117" s="1"/>
      <c r="L117" s="1"/>
      <c r="M117" s="1"/>
      <c r="N117" s="1"/>
      <c r="O117" s="1"/>
      <c r="P117" s="1"/>
      <c r="Q117" s="1"/>
    </row>
    <row r="118" spans="1:17" x14ac:dyDescent="0.2">
      <c r="A118" s="1"/>
      <c r="B118" s="1"/>
      <c r="C118" s="1"/>
      <c r="D118" s="1"/>
      <c r="E118" s="19" t="s">
        <v>138</v>
      </c>
      <c r="F118" s="11">
        <v>1.0156033607238483E-3</v>
      </c>
      <c r="G118" s="1"/>
      <c r="H118" s="24" t="s">
        <v>139</v>
      </c>
      <c r="I118" s="24" t="s">
        <v>140</v>
      </c>
      <c r="J118" s="24" t="s">
        <v>137</v>
      </c>
      <c r="K118" s="1"/>
      <c r="L118" s="1"/>
      <c r="M118" s="1"/>
      <c r="N118" s="1"/>
      <c r="O118" s="1"/>
      <c r="P118" s="1"/>
      <c r="Q118" s="1"/>
    </row>
    <row r="119" spans="1:17" x14ac:dyDescent="0.2">
      <c r="A119" s="1"/>
      <c r="B119" s="1"/>
      <c r="C119" s="1"/>
      <c r="D119" s="1"/>
      <c r="E119" s="19" t="s">
        <v>141</v>
      </c>
      <c r="F119" s="11">
        <v>1.292586095466716E-3</v>
      </c>
      <c r="G119" s="1"/>
      <c r="H119" s="24" t="s">
        <v>142</v>
      </c>
      <c r="I119" s="24" t="s">
        <v>143</v>
      </c>
      <c r="J119" s="24" t="s">
        <v>117</v>
      </c>
      <c r="K119" s="1"/>
      <c r="L119" s="1"/>
      <c r="M119" s="1"/>
      <c r="N119" s="1"/>
      <c r="O119" s="1"/>
      <c r="P119" s="1"/>
      <c r="Q119" s="1"/>
    </row>
    <row r="120" spans="1:17" x14ac:dyDescent="0.2">
      <c r="A120" s="1"/>
      <c r="B120" s="1"/>
      <c r="C120" s="1"/>
      <c r="D120" s="1"/>
      <c r="E120" s="19" t="s">
        <v>144</v>
      </c>
      <c r="F120" s="11">
        <v>9.2327578247622567E-5</v>
      </c>
      <c r="G120" s="1"/>
      <c r="H120" s="24" t="s">
        <v>145</v>
      </c>
      <c r="I120" s="24" t="s">
        <v>143</v>
      </c>
      <c r="J120" s="24" t="s">
        <v>137</v>
      </c>
      <c r="K120" s="1"/>
      <c r="L120" s="1"/>
      <c r="M120" s="1"/>
      <c r="N120" s="1"/>
      <c r="O120" s="1"/>
      <c r="P120" s="1"/>
      <c r="Q120" s="1"/>
    </row>
    <row r="121" spans="1:17" x14ac:dyDescent="0.2">
      <c r="A121" s="1"/>
      <c r="B121" s="1"/>
      <c r="C121" s="1"/>
      <c r="D121" s="1"/>
      <c r="E121" s="19" t="s">
        <v>146</v>
      </c>
      <c r="F121" s="11">
        <v>9.3250854030098793E-3</v>
      </c>
      <c r="G121" s="1"/>
      <c r="H121" s="24" t="s">
        <v>147</v>
      </c>
      <c r="I121" s="24" t="s">
        <v>148</v>
      </c>
      <c r="J121" s="24" t="s">
        <v>137</v>
      </c>
      <c r="K121" s="1"/>
      <c r="L121" s="1"/>
      <c r="M121" s="1"/>
      <c r="N121" s="1"/>
      <c r="O121" s="1"/>
      <c r="P121" s="1"/>
      <c r="Q121" s="1"/>
    </row>
    <row r="122" spans="1:17" x14ac:dyDescent="0.2">
      <c r="A122" s="1"/>
      <c r="B122" s="1"/>
      <c r="C122" s="1"/>
      <c r="D122" s="1"/>
      <c r="E122" s="19" t="s">
        <v>149</v>
      </c>
      <c r="F122" s="11">
        <v>9.2327578247622562E-3</v>
      </c>
      <c r="G122" s="1"/>
      <c r="H122" s="24" t="s">
        <v>150</v>
      </c>
      <c r="I122" s="24" t="s">
        <v>151</v>
      </c>
      <c r="J122" s="24" t="s">
        <v>117</v>
      </c>
      <c r="K122" s="1"/>
      <c r="L122" s="1"/>
      <c r="M122" s="1"/>
      <c r="N122" s="1"/>
      <c r="O122" s="1"/>
      <c r="P122" s="1"/>
      <c r="Q122" s="1"/>
    </row>
    <row r="123" spans="1:17" x14ac:dyDescent="0.2">
      <c r="A123" s="1"/>
      <c r="B123" s="1"/>
      <c r="C123" s="1"/>
      <c r="D123" s="1"/>
      <c r="E123" s="19" t="s">
        <v>152</v>
      </c>
      <c r="F123" s="11">
        <v>1.9296463853753117E-2</v>
      </c>
      <c r="G123" s="1"/>
      <c r="H123" s="24" t="s">
        <v>153</v>
      </c>
      <c r="I123" s="24" t="s">
        <v>154</v>
      </c>
      <c r="J123" s="24" t="s">
        <v>117</v>
      </c>
      <c r="K123" s="1"/>
      <c r="L123" s="1"/>
      <c r="M123" s="1"/>
      <c r="N123" s="1"/>
      <c r="O123" s="1"/>
      <c r="P123" s="1"/>
      <c r="Q123" s="1"/>
    </row>
    <row r="124" spans="1:17" x14ac:dyDescent="0.2">
      <c r="A124" s="1"/>
      <c r="B124" s="1"/>
      <c r="C124" s="1"/>
      <c r="D124" s="1"/>
      <c r="E124" s="19" t="s">
        <v>155</v>
      </c>
      <c r="F124" s="11">
        <v>9.2327578247622567E-5</v>
      </c>
      <c r="G124" s="1"/>
      <c r="H124" s="24" t="s">
        <v>156</v>
      </c>
      <c r="I124" s="24" t="s">
        <v>154</v>
      </c>
      <c r="J124" s="24" t="s">
        <v>137</v>
      </c>
      <c r="K124" s="1"/>
      <c r="L124" s="1"/>
      <c r="M124" s="1"/>
      <c r="N124" s="1"/>
      <c r="O124" s="1"/>
      <c r="P124" s="1"/>
      <c r="Q124" s="1"/>
    </row>
    <row r="125" spans="1:17" x14ac:dyDescent="0.2">
      <c r="A125" s="1"/>
      <c r="B125" s="1"/>
      <c r="C125" s="1"/>
      <c r="D125" s="1"/>
      <c r="E125" s="19" t="s">
        <v>157</v>
      </c>
      <c r="F125" s="10">
        <v>7.5499999999999998E-2</v>
      </c>
      <c r="G125" s="1"/>
      <c r="H125" s="24" t="s">
        <v>158</v>
      </c>
      <c r="I125" s="24" t="s">
        <v>154</v>
      </c>
      <c r="J125" s="24" t="s">
        <v>137</v>
      </c>
      <c r="K125" s="1"/>
      <c r="L125" s="1"/>
      <c r="M125" s="1"/>
      <c r="N125" s="1"/>
      <c r="O125" s="1"/>
      <c r="P125" s="1"/>
      <c r="Q125" s="1"/>
    </row>
    <row r="126" spans="1:17" x14ac:dyDescent="0.2">
      <c r="A126" s="1"/>
      <c r="B126" s="1"/>
      <c r="C126" s="1"/>
      <c r="D126" s="1"/>
      <c r="E126" s="19" t="s">
        <v>159</v>
      </c>
      <c r="F126" s="11">
        <v>2.3358877296648508E-2</v>
      </c>
      <c r="G126" s="1"/>
      <c r="H126" s="24" t="s">
        <v>160</v>
      </c>
      <c r="I126" s="24" t="s">
        <v>161</v>
      </c>
      <c r="J126" s="24" t="s">
        <v>137</v>
      </c>
      <c r="K126" s="1"/>
      <c r="L126" s="1"/>
      <c r="M126" s="1"/>
      <c r="N126" s="1"/>
      <c r="O126" s="1"/>
      <c r="P126" s="1"/>
      <c r="Q126" s="1"/>
    </row>
    <row r="127" spans="1:17" x14ac:dyDescent="0.2">
      <c r="A127" s="1"/>
      <c r="B127" s="1"/>
      <c r="C127" s="1"/>
      <c r="D127" s="1"/>
      <c r="E127" s="19" t="s">
        <v>162</v>
      </c>
      <c r="F127" s="11">
        <v>7.1092235250669374E-3</v>
      </c>
      <c r="G127" s="1"/>
      <c r="H127" s="24" t="s">
        <v>163</v>
      </c>
      <c r="I127" s="24" t="s">
        <v>161</v>
      </c>
      <c r="J127" s="24" t="s">
        <v>137</v>
      </c>
      <c r="K127" s="1"/>
      <c r="L127" s="1"/>
      <c r="M127" s="1"/>
      <c r="N127" s="1"/>
      <c r="O127" s="1"/>
      <c r="P127" s="1"/>
      <c r="Q127" s="1"/>
    </row>
    <row r="128" spans="1:17" x14ac:dyDescent="0.2">
      <c r="A128" s="1"/>
      <c r="B128" s="1"/>
      <c r="C128" s="1"/>
      <c r="D128" s="1"/>
      <c r="E128" s="19" t="s">
        <v>164</v>
      </c>
      <c r="F128" s="11">
        <v>4.6163789123811281E-3</v>
      </c>
      <c r="G128" s="1"/>
      <c r="H128" s="24" t="s">
        <v>165</v>
      </c>
      <c r="I128" s="24" t="s">
        <v>166</v>
      </c>
      <c r="J128" s="24" t="s">
        <v>117</v>
      </c>
      <c r="K128" s="1"/>
      <c r="L128" s="1"/>
      <c r="M128" s="1"/>
      <c r="N128" s="1"/>
      <c r="O128" s="1"/>
      <c r="P128" s="1"/>
      <c r="Q128" s="1"/>
    </row>
    <row r="129" spans="1:17" x14ac:dyDescent="0.2">
      <c r="A129" s="1"/>
      <c r="B129" s="1"/>
      <c r="C129" s="1"/>
      <c r="D129" s="1"/>
      <c r="E129" s="19" t="s">
        <v>167</v>
      </c>
      <c r="F129" s="11">
        <v>8.9557750900193887E-3</v>
      </c>
      <c r="G129" s="1"/>
      <c r="H129" s="24" t="s">
        <v>168</v>
      </c>
      <c r="I129" s="24" t="s">
        <v>166</v>
      </c>
      <c r="J129" s="24" t="s">
        <v>137</v>
      </c>
      <c r="K129" s="1"/>
      <c r="L129" s="1"/>
      <c r="M129" s="1"/>
      <c r="N129" s="1"/>
      <c r="O129" s="1"/>
      <c r="P129" s="1"/>
      <c r="Q129" s="1"/>
    </row>
    <row r="130" spans="1:17" x14ac:dyDescent="0.2">
      <c r="A130" s="1"/>
      <c r="B130" s="1"/>
      <c r="C130" s="1"/>
      <c r="D130" s="1"/>
      <c r="E130" s="19" t="s">
        <v>169</v>
      </c>
      <c r="F130" s="11">
        <v>6.278275320838334E-3</v>
      </c>
      <c r="G130" s="1"/>
      <c r="H130" s="24" t="s">
        <v>170</v>
      </c>
      <c r="I130" s="24" t="s">
        <v>166</v>
      </c>
      <c r="J130" s="24" t="s">
        <v>137</v>
      </c>
      <c r="K130" s="1"/>
      <c r="L130" s="1"/>
      <c r="M130" s="1"/>
      <c r="N130" s="1"/>
      <c r="O130" s="1"/>
      <c r="P130" s="1"/>
      <c r="Q130" s="1"/>
    </row>
    <row r="131" spans="1:17" x14ac:dyDescent="0.2">
      <c r="A131" s="1"/>
      <c r="B131" s="1"/>
      <c r="C131" s="1"/>
      <c r="D131" s="1"/>
      <c r="E131" s="19" t="s">
        <v>171</v>
      </c>
      <c r="F131" s="11">
        <v>8.3094820422860308E-4</v>
      </c>
      <c r="G131" s="1"/>
      <c r="H131" s="24" t="s">
        <v>172</v>
      </c>
      <c r="I131" s="24" t="s">
        <v>166</v>
      </c>
      <c r="J131" s="24" t="s">
        <v>137</v>
      </c>
      <c r="K131" s="1"/>
      <c r="L131" s="1"/>
      <c r="M131" s="1"/>
      <c r="N131" s="1"/>
      <c r="O131" s="1"/>
      <c r="P131" s="1"/>
      <c r="Q131" s="1"/>
    </row>
    <row r="132" spans="1:17" x14ac:dyDescent="0.2">
      <c r="A132" s="1"/>
      <c r="B132" s="1"/>
      <c r="C132" s="1"/>
      <c r="D132" s="1"/>
      <c r="E132" s="19" t="s">
        <v>173</v>
      </c>
      <c r="F132" s="11">
        <v>1.4772412519619611E-3</v>
      </c>
      <c r="G132" s="1"/>
      <c r="H132" s="24" t="s">
        <v>174</v>
      </c>
      <c r="I132" s="24" t="s">
        <v>175</v>
      </c>
      <c r="J132" s="24" t="s">
        <v>117</v>
      </c>
      <c r="K132" s="1"/>
      <c r="L132" s="1"/>
      <c r="M132" s="1"/>
      <c r="N132" s="1"/>
      <c r="O132" s="1"/>
      <c r="P132" s="1"/>
      <c r="Q132" s="1"/>
    </row>
    <row r="133" spans="1:17" x14ac:dyDescent="0.2">
      <c r="A133" s="1"/>
      <c r="B133" s="1"/>
      <c r="C133" s="1"/>
      <c r="D133" s="1"/>
      <c r="E133" s="19" t="s">
        <v>176</v>
      </c>
      <c r="F133" s="11">
        <v>1.8465515649524513E-4</v>
      </c>
      <c r="G133" s="1"/>
      <c r="H133" s="24" t="s">
        <v>177</v>
      </c>
      <c r="I133" s="24" t="s">
        <v>175</v>
      </c>
      <c r="J133" s="24" t="s">
        <v>117</v>
      </c>
      <c r="K133" s="1"/>
      <c r="L133" s="1"/>
      <c r="M133" s="1"/>
      <c r="N133" s="1"/>
      <c r="O133" s="1"/>
      <c r="P133" s="1"/>
      <c r="Q133" s="1"/>
    </row>
    <row r="134" spans="1:17" x14ac:dyDescent="0.2">
      <c r="A134" s="1"/>
      <c r="B134" s="1"/>
      <c r="C134" s="1"/>
      <c r="D134" s="1"/>
      <c r="E134" s="19" t="s">
        <v>178</v>
      </c>
      <c r="F134" s="11">
        <v>2.7698273474286769E-3</v>
      </c>
      <c r="G134" s="1"/>
      <c r="H134" s="24" t="s">
        <v>179</v>
      </c>
      <c r="I134" s="24" t="s">
        <v>175</v>
      </c>
      <c r="J134" s="24" t="s">
        <v>117</v>
      </c>
      <c r="K134" s="1"/>
      <c r="L134" s="1"/>
      <c r="M134" s="1"/>
      <c r="N134" s="1"/>
      <c r="O134" s="1"/>
      <c r="P134" s="1"/>
      <c r="Q134" s="1"/>
    </row>
    <row r="135" spans="1:17" x14ac:dyDescent="0.2">
      <c r="A135" s="1"/>
      <c r="B135" s="1"/>
      <c r="C135" s="1"/>
      <c r="D135" s="1"/>
      <c r="E135" s="19" t="s">
        <v>180</v>
      </c>
      <c r="F135" s="11">
        <v>1.7265257132305419E-2</v>
      </c>
      <c r="G135" s="1"/>
      <c r="H135" s="24" t="s">
        <v>181</v>
      </c>
      <c r="I135" s="24" t="s">
        <v>182</v>
      </c>
      <c r="J135" s="24" t="s">
        <v>137</v>
      </c>
      <c r="K135" s="1"/>
      <c r="L135" s="1"/>
      <c r="M135" s="1"/>
      <c r="N135" s="1"/>
      <c r="O135" s="1"/>
      <c r="P135" s="1"/>
      <c r="Q135" s="1"/>
    </row>
    <row r="136" spans="1:17" x14ac:dyDescent="0.2">
      <c r="A136" s="1"/>
      <c r="B136" s="1"/>
      <c r="C136" s="1"/>
      <c r="D136" s="1"/>
      <c r="E136" s="19" t="s">
        <v>183</v>
      </c>
      <c r="F136" s="11">
        <v>1.8465515649524513E-4</v>
      </c>
      <c r="G136" s="1"/>
      <c r="H136" s="24" t="s">
        <v>184</v>
      </c>
      <c r="I136" s="24" t="s">
        <v>182</v>
      </c>
      <c r="J136" s="24" t="s">
        <v>137</v>
      </c>
      <c r="K136" s="1"/>
      <c r="L136" s="1"/>
      <c r="M136" s="1"/>
      <c r="N136" s="1"/>
      <c r="O136" s="1"/>
      <c r="P136" s="1"/>
      <c r="Q136" s="1"/>
    </row>
    <row r="137" spans="1:17" x14ac:dyDescent="0.2">
      <c r="A137" s="1"/>
      <c r="B137" s="1"/>
      <c r="C137" s="1"/>
      <c r="D137" s="1"/>
      <c r="E137" s="19" t="s">
        <v>185</v>
      </c>
      <c r="F137" s="11">
        <v>9.2327578247622567E-5</v>
      </c>
      <c r="G137" s="1"/>
      <c r="H137" s="24" t="s">
        <v>186</v>
      </c>
      <c r="I137" s="24" t="s">
        <v>182</v>
      </c>
      <c r="J137" s="24" t="s">
        <v>137</v>
      </c>
      <c r="K137" s="1"/>
      <c r="L137" s="1"/>
      <c r="M137" s="1"/>
      <c r="N137" s="1"/>
      <c r="O137" s="1"/>
      <c r="P137" s="1"/>
      <c r="Q137" s="1"/>
    </row>
    <row r="138" spans="1:17" x14ac:dyDescent="0.2">
      <c r="A138" s="1"/>
      <c r="B138" s="1"/>
      <c r="C138" s="1"/>
      <c r="D138" s="1"/>
      <c r="E138" s="19" t="s">
        <v>187</v>
      </c>
      <c r="F138" s="11">
        <v>9.2327578247622562E-3</v>
      </c>
      <c r="G138" s="1"/>
      <c r="H138" s="24" t="s">
        <v>188</v>
      </c>
      <c r="I138" s="24" t="s">
        <v>189</v>
      </c>
      <c r="J138" s="24" t="s">
        <v>137</v>
      </c>
      <c r="K138" s="1"/>
      <c r="L138" s="1"/>
      <c r="M138" s="1"/>
      <c r="N138" s="1"/>
      <c r="O138" s="1"/>
      <c r="P138" s="1"/>
      <c r="Q138" s="1"/>
    </row>
    <row r="139" spans="1:17" x14ac:dyDescent="0.2">
      <c r="A139" s="1"/>
      <c r="B139" s="1"/>
      <c r="C139" s="1"/>
      <c r="D139" s="1"/>
      <c r="E139" s="19" t="s">
        <v>190</v>
      </c>
      <c r="F139" s="11">
        <v>4.6163789123811281E-4</v>
      </c>
      <c r="G139" s="1"/>
      <c r="H139" s="24" t="s">
        <v>191</v>
      </c>
      <c r="I139" s="24" t="s">
        <v>189</v>
      </c>
      <c r="J139" s="24" t="s">
        <v>137</v>
      </c>
      <c r="K139" s="1"/>
      <c r="L139" s="1"/>
      <c r="M139" s="1"/>
      <c r="N139" s="1"/>
      <c r="O139" s="1"/>
      <c r="P139" s="1"/>
      <c r="Q139" s="1"/>
    </row>
    <row r="140" spans="1:17" x14ac:dyDescent="0.2">
      <c r="A140" s="1"/>
      <c r="B140" s="1"/>
      <c r="C140" s="1"/>
      <c r="D140" s="1"/>
      <c r="E140" s="19" t="s">
        <v>192</v>
      </c>
      <c r="F140" s="11">
        <v>8.1248268857907861E-3</v>
      </c>
      <c r="G140" s="1"/>
      <c r="H140" s="24" t="s">
        <v>193</v>
      </c>
      <c r="I140" s="24" t="s">
        <v>194</v>
      </c>
      <c r="J140" s="24" t="s">
        <v>117</v>
      </c>
      <c r="K140" s="1"/>
      <c r="L140" s="1"/>
      <c r="M140" s="1"/>
      <c r="N140" s="1"/>
      <c r="O140" s="1"/>
      <c r="P140" s="1"/>
      <c r="Q140" s="1"/>
    </row>
    <row r="141" spans="1:17" x14ac:dyDescent="0.2">
      <c r="A141" s="1"/>
      <c r="B141" s="1"/>
      <c r="C141" s="1"/>
      <c r="D141" s="1"/>
      <c r="E141" s="19" t="s">
        <v>195</v>
      </c>
      <c r="F141" s="11">
        <v>9.2327578247622562E-3</v>
      </c>
      <c r="G141" s="1"/>
      <c r="H141" s="24" t="s">
        <v>196</v>
      </c>
      <c r="I141" s="24" t="s">
        <v>197</v>
      </c>
      <c r="J141" s="24" t="s">
        <v>117</v>
      </c>
      <c r="K141" s="1"/>
      <c r="L141" s="1"/>
      <c r="M141" s="1"/>
      <c r="N141" s="1"/>
      <c r="O141" s="1"/>
      <c r="P141" s="1"/>
      <c r="Q141" s="1"/>
    </row>
    <row r="142" spans="1:17" x14ac:dyDescent="0.2">
      <c r="A142" s="1"/>
      <c r="B142" s="1"/>
      <c r="C142" s="1"/>
      <c r="D142" s="1"/>
      <c r="E142" s="19" t="s">
        <v>198</v>
      </c>
      <c r="F142" s="11">
        <v>6.46293047733358E-4</v>
      </c>
      <c r="G142" s="1"/>
      <c r="H142" s="24" t="s">
        <v>199</v>
      </c>
      <c r="I142" s="24" t="s">
        <v>197</v>
      </c>
      <c r="J142" s="24" t="s">
        <v>117</v>
      </c>
      <c r="K142" s="1"/>
      <c r="L142" s="1"/>
      <c r="M142" s="1"/>
      <c r="N142" s="1"/>
      <c r="O142" s="1"/>
      <c r="P142" s="1"/>
      <c r="Q142" s="1"/>
    </row>
    <row r="143" spans="1:17" x14ac:dyDescent="0.2">
      <c r="A143" s="1"/>
      <c r="B143" s="1"/>
      <c r="C143" s="1"/>
      <c r="D143" s="1"/>
      <c r="E143" s="19" t="s">
        <v>200</v>
      </c>
      <c r="F143" s="11">
        <v>4.6163789123811281E-3</v>
      </c>
      <c r="G143" s="1"/>
      <c r="H143" s="24" t="s">
        <v>201</v>
      </c>
      <c r="I143" s="24" t="s">
        <v>197</v>
      </c>
      <c r="J143" s="24" t="s">
        <v>137</v>
      </c>
      <c r="K143" s="1"/>
      <c r="L143" s="1"/>
      <c r="M143" s="1"/>
      <c r="N143" s="1"/>
      <c r="O143" s="1"/>
      <c r="P143" s="1"/>
      <c r="Q143" s="1"/>
    </row>
    <row r="144" spans="1:17" x14ac:dyDescent="0.2">
      <c r="A144" s="1"/>
      <c r="B144" s="1"/>
      <c r="C144" s="1"/>
      <c r="D144" s="1"/>
      <c r="E144" s="19" t="s">
        <v>202</v>
      </c>
      <c r="F144" s="11">
        <v>9.6943957160003699E-3</v>
      </c>
      <c r="G144" s="1"/>
      <c r="H144" s="24" t="s">
        <v>203</v>
      </c>
      <c r="I144" s="24" t="s">
        <v>204</v>
      </c>
      <c r="J144" s="24" t="s">
        <v>117</v>
      </c>
      <c r="K144" s="1"/>
      <c r="L144" s="1"/>
      <c r="M144" s="1"/>
      <c r="N144" s="1"/>
      <c r="O144" s="1"/>
      <c r="P144" s="1"/>
      <c r="Q144" s="1"/>
    </row>
    <row r="145" spans="1:17" x14ac:dyDescent="0.2">
      <c r="A145" s="1"/>
      <c r="B145" s="1"/>
      <c r="C145" s="1"/>
      <c r="D145" s="1"/>
      <c r="E145" s="19" t="s">
        <v>205</v>
      </c>
      <c r="F145" s="11">
        <v>2.7698273474286769E-3</v>
      </c>
      <c r="G145" s="1"/>
      <c r="H145" s="24" t="s">
        <v>206</v>
      </c>
      <c r="I145" s="24" t="s">
        <v>204</v>
      </c>
      <c r="J145" s="24" t="s">
        <v>137</v>
      </c>
      <c r="K145" s="1"/>
      <c r="L145" s="1"/>
      <c r="M145" s="1"/>
      <c r="N145" s="1"/>
      <c r="O145" s="1"/>
      <c r="P145" s="1"/>
      <c r="Q145" s="1"/>
    </row>
    <row r="146" spans="1:17" x14ac:dyDescent="0.2">
      <c r="A146" s="1"/>
      <c r="B146" s="1"/>
      <c r="C146" s="1"/>
      <c r="D146" s="1"/>
      <c r="E146" s="19" t="s">
        <v>207</v>
      </c>
      <c r="F146" s="11">
        <v>9.6943957160003699E-3</v>
      </c>
      <c r="G146" s="1"/>
      <c r="H146" s="24" t="s">
        <v>208</v>
      </c>
      <c r="I146" s="24" t="s">
        <v>209</v>
      </c>
      <c r="J146" s="24" t="s">
        <v>117</v>
      </c>
      <c r="K146" s="1"/>
      <c r="L146" s="1"/>
      <c r="M146" s="1"/>
      <c r="N146" s="1"/>
      <c r="O146" s="1"/>
      <c r="P146" s="1"/>
      <c r="Q146" s="1"/>
    </row>
    <row r="147" spans="1:17" x14ac:dyDescent="0.2">
      <c r="A147" s="1"/>
      <c r="B147" s="1"/>
      <c r="C147" s="1"/>
      <c r="D147" s="1"/>
      <c r="E147" s="19" t="s">
        <v>210</v>
      </c>
      <c r="F147" s="11">
        <v>9.2327578247622567E-5</v>
      </c>
      <c r="G147" s="1"/>
      <c r="H147" s="24" t="s">
        <v>211</v>
      </c>
      <c r="I147" s="24" t="s">
        <v>209</v>
      </c>
      <c r="J147" s="24" t="s">
        <v>137</v>
      </c>
      <c r="K147" s="1"/>
      <c r="L147" s="1"/>
      <c r="M147" s="1"/>
      <c r="N147" s="1"/>
      <c r="O147" s="1"/>
      <c r="P147" s="1"/>
      <c r="Q147" s="1"/>
    </row>
    <row r="148" spans="1:17" x14ac:dyDescent="0.2">
      <c r="A148" s="1"/>
      <c r="B148" s="1"/>
      <c r="C148" s="1"/>
      <c r="D148" s="1"/>
      <c r="E148" s="19" t="s">
        <v>212</v>
      </c>
      <c r="F148" s="11">
        <v>2.1143015418705568E-2</v>
      </c>
      <c r="G148" s="1"/>
      <c r="H148" s="24" t="s">
        <v>213</v>
      </c>
      <c r="I148" s="24" t="s">
        <v>209</v>
      </c>
      <c r="J148" s="24" t="s">
        <v>137</v>
      </c>
      <c r="K148" s="1"/>
      <c r="L148" s="1"/>
      <c r="M148" s="1"/>
      <c r="N148" s="1"/>
      <c r="O148" s="1"/>
      <c r="P148" s="1"/>
      <c r="Q148" s="1"/>
    </row>
    <row r="149" spans="1:17" x14ac:dyDescent="0.2">
      <c r="A149" s="1"/>
      <c r="B149" s="1"/>
      <c r="C149" s="1"/>
      <c r="D149" s="1"/>
      <c r="E149" s="19" t="s">
        <v>214</v>
      </c>
      <c r="F149" s="11">
        <v>4.7087064906287512E-3</v>
      </c>
      <c r="G149" s="1"/>
      <c r="H149" s="24" t="s">
        <v>215</v>
      </c>
      <c r="I149" s="24" t="s">
        <v>216</v>
      </c>
      <c r="J149" s="24" t="s">
        <v>137</v>
      </c>
      <c r="K149" s="1"/>
      <c r="L149" s="1"/>
      <c r="M149" s="1"/>
      <c r="N149" s="1"/>
      <c r="O149" s="1"/>
      <c r="P149" s="1"/>
      <c r="Q149" s="1"/>
    </row>
    <row r="150" spans="1:17" x14ac:dyDescent="0.2">
      <c r="A150" s="1"/>
      <c r="B150" s="1"/>
      <c r="C150" s="1"/>
      <c r="D150" s="1"/>
      <c r="E150" s="19" t="s">
        <v>217</v>
      </c>
      <c r="F150" s="11">
        <v>2.5205428861600959E-2</v>
      </c>
      <c r="G150" s="1"/>
      <c r="H150" s="24" t="s">
        <v>218</v>
      </c>
      <c r="I150" s="24" t="s">
        <v>219</v>
      </c>
      <c r="J150" s="24" t="s">
        <v>137</v>
      </c>
      <c r="K150" s="1"/>
      <c r="L150" s="1"/>
      <c r="M150" s="1"/>
      <c r="N150" s="1"/>
      <c r="O150" s="1"/>
      <c r="P150" s="1"/>
      <c r="Q150" s="1"/>
    </row>
    <row r="151" spans="1:17" x14ac:dyDescent="0.2">
      <c r="A151" s="1"/>
      <c r="B151" s="1"/>
      <c r="C151" s="1"/>
      <c r="D151" s="1"/>
      <c r="E151" s="19" t="s">
        <v>220</v>
      </c>
      <c r="F151" s="11">
        <v>3.6931031299049027E-4</v>
      </c>
      <c r="G151" s="1"/>
      <c r="H151" s="24" t="s">
        <v>221</v>
      </c>
      <c r="I151" s="24" t="s">
        <v>222</v>
      </c>
      <c r="J151" s="24" t="s">
        <v>117</v>
      </c>
      <c r="K151" s="1"/>
      <c r="L151" s="1"/>
      <c r="M151" s="1"/>
      <c r="N151" s="1"/>
      <c r="O151" s="1"/>
      <c r="P151" s="1"/>
      <c r="Q151" s="1"/>
    </row>
    <row r="152" spans="1:17" x14ac:dyDescent="0.2">
      <c r="A152" s="1"/>
      <c r="B152" s="1"/>
      <c r="C152" s="1"/>
      <c r="D152" s="1"/>
      <c r="E152" s="19" t="s">
        <v>223</v>
      </c>
      <c r="F152" s="11">
        <v>9.2327578247622567E-5</v>
      </c>
      <c r="G152" s="1"/>
      <c r="H152" s="24" t="s">
        <v>224</v>
      </c>
      <c r="I152" s="24" t="s">
        <v>222</v>
      </c>
      <c r="J152" s="24" t="s">
        <v>137</v>
      </c>
      <c r="K152" s="1"/>
      <c r="L152" s="1"/>
      <c r="M152" s="1"/>
      <c r="N152" s="1"/>
      <c r="O152" s="1"/>
      <c r="P152" s="1"/>
      <c r="Q152" s="1"/>
    </row>
    <row r="153" spans="1:17" x14ac:dyDescent="0.2">
      <c r="A153" s="1"/>
      <c r="B153" s="1"/>
      <c r="C153" s="1"/>
      <c r="D153" s="1"/>
      <c r="E153" s="19" t="s">
        <v>225</v>
      </c>
      <c r="F153" s="11">
        <v>9.2327578247622567E-5</v>
      </c>
      <c r="G153" s="1"/>
      <c r="H153" s="24" t="s">
        <v>226</v>
      </c>
      <c r="I153" s="24" t="s">
        <v>222</v>
      </c>
      <c r="J153" s="24" t="s">
        <v>137</v>
      </c>
      <c r="K153" s="1"/>
      <c r="L153" s="1"/>
      <c r="M153" s="1"/>
      <c r="N153" s="1"/>
      <c r="O153" s="1"/>
      <c r="P153" s="1"/>
      <c r="Q153" s="1"/>
    </row>
    <row r="154" spans="1:17" x14ac:dyDescent="0.2">
      <c r="A154" s="1"/>
      <c r="B154" s="1"/>
      <c r="C154" s="1"/>
      <c r="D154" s="1"/>
      <c r="E154" s="19" t="s">
        <v>227</v>
      </c>
      <c r="F154" s="11">
        <v>3.139137660419167E-3</v>
      </c>
      <c r="G154" s="1"/>
      <c r="H154" s="24" t="s">
        <v>228</v>
      </c>
      <c r="I154" s="24" t="s">
        <v>222</v>
      </c>
      <c r="J154" s="24" t="s">
        <v>137</v>
      </c>
      <c r="K154" s="1"/>
      <c r="L154" s="1"/>
      <c r="M154" s="1"/>
      <c r="N154" s="1"/>
      <c r="O154" s="1"/>
      <c r="P154" s="1"/>
      <c r="Q154" s="1"/>
    </row>
    <row r="155" spans="1:17" x14ac:dyDescent="0.2">
      <c r="A155" s="1"/>
      <c r="B155" s="1"/>
      <c r="C155" s="1"/>
      <c r="D155" s="1"/>
      <c r="E155" s="19" t="s">
        <v>229</v>
      </c>
      <c r="F155" s="11">
        <v>9.2327578247622567E-5</v>
      </c>
      <c r="G155" s="1"/>
      <c r="H155" s="24" t="s">
        <v>230</v>
      </c>
      <c r="I155" s="24" t="s">
        <v>222</v>
      </c>
      <c r="J155" s="24" t="s">
        <v>137</v>
      </c>
      <c r="K155" s="1"/>
      <c r="L155" s="1"/>
      <c r="M155" s="1"/>
      <c r="N155" s="1"/>
      <c r="O155" s="1"/>
      <c r="P155" s="1"/>
      <c r="Q155" s="1"/>
    </row>
    <row r="156" spans="1:17" x14ac:dyDescent="0.2">
      <c r="A156" s="1"/>
      <c r="B156" s="1"/>
      <c r="C156" s="1"/>
      <c r="D156" s="1"/>
      <c r="E156" s="19" t="s">
        <v>231</v>
      </c>
      <c r="F156" s="11">
        <v>9.2327578247622567E-5</v>
      </c>
      <c r="G156" s="1"/>
      <c r="H156" s="24" t="s">
        <v>232</v>
      </c>
      <c r="I156" s="24" t="s">
        <v>222</v>
      </c>
      <c r="J156" s="24" t="s">
        <v>137</v>
      </c>
      <c r="K156" s="1"/>
      <c r="L156" s="1"/>
      <c r="M156" s="1"/>
      <c r="N156" s="1"/>
      <c r="O156" s="1"/>
      <c r="P156" s="1"/>
      <c r="Q156" s="1"/>
    </row>
    <row r="157" spans="1:17" x14ac:dyDescent="0.2">
      <c r="A157" s="1"/>
      <c r="B157" s="1"/>
      <c r="C157" s="1"/>
      <c r="D157" s="1"/>
      <c r="E157" s="19" t="s">
        <v>233</v>
      </c>
      <c r="F157" s="11">
        <v>5.2626719601144862E-3</v>
      </c>
      <c r="G157" s="1"/>
      <c r="H157" s="24" t="s">
        <v>234</v>
      </c>
      <c r="I157" s="24" t="s">
        <v>234</v>
      </c>
      <c r="J157" s="24" t="s">
        <v>117</v>
      </c>
      <c r="K157" s="1"/>
      <c r="L157" s="1"/>
      <c r="M157" s="1"/>
      <c r="N157" s="1"/>
      <c r="O157" s="1"/>
      <c r="P157" s="1"/>
      <c r="Q157" s="1"/>
    </row>
    <row r="158" spans="1:17" x14ac:dyDescent="0.2">
      <c r="A158" s="1"/>
      <c r="B158" s="1"/>
      <c r="C158" s="1"/>
      <c r="D158" s="1"/>
      <c r="E158" s="19" t="s">
        <v>235</v>
      </c>
      <c r="F158" s="11">
        <v>1.1263964546209954E-2</v>
      </c>
      <c r="G158" s="1"/>
      <c r="H158" s="24" t="s">
        <v>236</v>
      </c>
      <c r="I158" s="24" t="s">
        <v>237</v>
      </c>
      <c r="J158" s="24" t="s">
        <v>117</v>
      </c>
      <c r="K158" s="1"/>
      <c r="L158" s="1"/>
      <c r="M158" s="1"/>
      <c r="N158" s="1"/>
      <c r="O158" s="1"/>
      <c r="P158" s="1"/>
      <c r="Q158" s="1"/>
    </row>
    <row r="159" spans="1:17" x14ac:dyDescent="0.2">
      <c r="A159" s="1"/>
      <c r="B159" s="1"/>
      <c r="C159" s="1"/>
      <c r="D159" s="1"/>
      <c r="E159" s="19" t="s">
        <v>238</v>
      </c>
      <c r="F159" s="11">
        <v>9.2327578247622567E-5</v>
      </c>
      <c r="G159" s="1"/>
      <c r="H159" s="24" t="s">
        <v>239</v>
      </c>
      <c r="I159" s="24" t="s">
        <v>237</v>
      </c>
      <c r="J159" s="24" t="s">
        <v>137</v>
      </c>
      <c r="K159" s="1"/>
      <c r="L159" s="1"/>
      <c r="M159" s="1"/>
      <c r="N159" s="1"/>
      <c r="O159" s="1"/>
      <c r="P159" s="1"/>
      <c r="Q159" s="1"/>
    </row>
    <row r="160" spans="1:17" x14ac:dyDescent="0.2">
      <c r="A160" s="1"/>
      <c r="B160" s="1"/>
      <c r="C160" s="1"/>
      <c r="D160" s="1"/>
      <c r="E160" s="19" t="s">
        <v>240</v>
      </c>
      <c r="F160" s="11">
        <v>8.9557750900193887E-3</v>
      </c>
      <c r="G160" s="1"/>
      <c r="H160" s="24" t="s">
        <v>241</v>
      </c>
      <c r="I160" s="24" t="s">
        <v>242</v>
      </c>
      <c r="J160" s="24" t="s">
        <v>137</v>
      </c>
      <c r="K160" s="1"/>
      <c r="L160" s="1"/>
      <c r="M160" s="1"/>
      <c r="N160" s="1"/>
      <c r="O160" s="1"/>
      <c r="P160" s="1"/>
      <c r="Q160" s="1"/>
    </row>
    <row r="161" spans="1:17" x14ac:dyDescent="0.2">
      <c r="A161" s="1"/>
      <c r="B161" s="1"/>
      <c r="C161" s="1"/>
      <c r="D161" s="1"/>
      <c r="E161" s="19" t="s">
        <v>243</v>
      </c>
      <c r="F161" s="11">
        <v>9.2327578247622567E-5</v>
      </c>
      <c r="G161" s="1"/>
      <c r="H161" s="24" t="s">
        <v>244</v>
      </c>
      <c r="I161" s="24" t="s">
        <v>245</v>
      </c>
      <c r="J161" s="24" t="s">
        <v>137</v>
      </c>
      <c r="K161" s="1"/>
      <c r="L161" s="1"/>
      <c r="M161" s="1"/>
      <c r="N161" s="1"/>
      <c r="O161" s="1"/>
      <c r="P161" s="1"/>
      <c r="Q161" s="1"/>
    </row>
    <row r="162" spans="1:17" x14ac:dyDescent="0.2">
      <c r="A162" s="1"/>
      <c r="B162" s="1"/>
      <c r="C162" s="1"/>
      <c r="D162" s="1"/>
      <c r="E162" s="19" t="s">
        <v>246</v>
      </c>
      <c r="F162" s="11">
        <v>4.6163789123811281E-4</v>
      </c>
      <c r="G162" s="1"/>
      <c r="H162" s="24" t="s">
        <v>247</v>
      </c>
      <c r="I162" s="24" t="s">
        <v>248</v>
      </c>
      <c r="J162" s="24" t="s">
        <v>117</v>
      </c>
      <c r="K162" s="1"/>
      <c r="L162" s="1"/>
      <c r="M162" s="1"/>
      <c r="N162" s="1"/>
      <c r="O162" s="1"/>
      <c r="P162" s="1"/>
      <c r="Q162" s="1"/>
    </row>
    <row r="163" spans="1:17" x14ac:dyDescent="0.2">
      <c r="A163" s="1"/>
      <c r="B163" s="1"/>
      <c r="C163" s="1"/>
      <c r="D163" s="1"/>
      <c r="E163" s="19" t="s">
        <v>249</v>
      </c>
      <c r="F163" s="11">
        <v>2.3451204874896131E-2</v>
      </c>
      <c r="G163" s="1"/>
      <c r="H163" s="24" t="s">
        <v>250</v>
      </c>
      <c r="I163" s="24" t="s">
        <v>251</v>
      </c>
      <c r="J163" s="24" t="s">
        <v>137</v>
      </c>
      <c r="K163" s="1"/>
      <c r="L163" s="1"/>
      <c r="M163" s="1"/>
      <c r="N163" s="1"/>
      <c r="O163" s="1"/>
      <c r="P163" s="1"/>
      <c r="Q163" s="1"/>
    </row>
    <row r="164" spans="1:17" x14ac:dyDescent="0.2">
      <c r="A164" s="1"/>
      <c r="B164" s="1"/>
      <c r="C164" s="1"/>
      <c r="D164" s="1"/>
      <c r="E164" s="19" t="s">
        <v>252</v>
      </c>
      <c r="F164" s="11">
        <v>9.0481026682670117E-3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spans="1:17" x14ac:dyDescent="0.2">
      <c r="A165" s="1"/>
      <c r="B165" s="1"/>
      <c r="C165" s="1"/>
      <c r="D165" s="1"/>
      <c r="E165" s="19" t="s">
        <v>253</v>
      </c>
      <c r="F165" s="11">
        <v>1.6803619241067307E-2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spans="1:17" x14ac:dyDescent="0.2">
      <c r="A166" s="1"/>
      <c r="B166" s="1"/>
      <c r="C166" s="1"/>
      <c r="D166" s="1"/>
      <c r="E166" s="19" t="s">
        <v>254</v>
      </c>
      <c r="F166" s="11">
        <v>1.8465515649524512E-3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spans="1:17" x14ac:dyDescent="0.2">
      <c r="A167" s="1"/>
      <c r="B167" s="1"/>
      <c r="C167" s="1"/>
      <c r="D167" s="1"/>
      <c r="E167" s="19" t="s">
        <v>255</v>
      </c>
      <c r="F167" s="11">
        <v>2.0773705105715076E-2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spans="1:17" x14ac:dyDescent="0.2">
      <c r="A168" s="1"/>
      <c r="B168" s="1"/>
      <c r="C168" s="1"/>
      <c r="D168" s="1"/>
      <c r="E168" s="19" t="s">
        <v>256</v>
      </c>
      <c r="F168" s="11">
        <v>1.5695688302095835E-3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spans="1:17" x14ac:dyDescent="0.2">
      <c r="A169" s="1"/>
      <c r="B169" s="1"/>
      <c r="C169" s="1"/>
      <c r="D169" s="1"/>
      <c r="E169" s="19" t="s">
        <v>257</v>
      </c>
      <c r="F169" s="11">
        <v>9.2327578247622562E-3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spans="1:17" x14ac:dyDescent="0.2">
      <c r="A170" s="1"/>
      <c r="B170" s="1"/>
      <c r="C170" s="1"/>
      <c r="D170" s="1"/>
      <c r="E170" s="19" t="s">
        <v>258</v>
      </c>
      <c r="F170" s="11">
        <v>8.5864647770288981E-3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spans="1:17" x14ac:dyDescent="0.2">
      <c r="A171" s="1"/>
      <c r="B171" s="1"/>
      <c r="C171" s="1"/>
      <c r="D171" s="1"/>
      <c r="E171" s="19" t="s">
        <v>259</v>
      </c>
      <c r="F171" s="11">
        <v>1.080232665497184E-2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spans="1:17" x14ac:dyDescent="0.2">
      <c r="A172" s="1"/>
      <c r="B172" s="1"/>
      <c r="C172" s="1"/>
      <c r="D172" s="1"/>
      <c r="E172" s="19" t="s">
        <v>260</v>
      </c>
      <c r="F172" s="11">
        <v>9.2327578247622567E-5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spans="1:17" x14ac:dyDescent="0.2">
      <c r="A173" s="1"/>
      <c r="B173" s="1"/>
      <c r="C173" s="1"/>
      <c r="D173" s="1"/>
      <c r="E173" s="19" t="s">
        <v>261</v>
      </c>
      <c r="F173" s="11">
        <v>9.3250854030098793E-3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spans="1:17" x14ac:dyDescent="0.2">
      <c r="A174" s="1"/>
      <c r="B174" s="1"/>
      <c r="C174" s="1"/>
      <c r="D174" s="1"/>
      <c r="E174" s="19" t="s">
        <v>262</v>
      </c>
      <c r="F174" s="11">
        <v>6.0936201643430896E-3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spans="1:17" x14ac:dyDescent="0.2">
      <c r="A175" s="1"/>
      <c r="B175" s="1"/>
      <c r="C175" s="1"/>
      <c r="D175" s="1"/>
      <c r="E175" s="19" t="s">
        <v>263</v>
      </c>
      <c r="F175" s="11">
        <v>5.4473271166097315E-3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spans="1:17" x14ac:dyDescent="0.2">
      <c r="A176" s="1"/>
      <c r="B176" s="1"/>
      <c r="C176" s="1"/>
      <c r="D176" s="1"/>
      <c r="E176" s="19" t="s">
        <v>264</v>
      </c>
      <c r="F176" s="11">
        <v>1.0894654233219463E-2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spans="1:17" x14ac:dyDescent="0.2">
      <c r="A177" s="1"/>
      <c r="B177" s="1"/>
      <c r="C177" s="1"/>
      <c r="D177" s="1"/>
      <c r="E177" s="19" t="s">
        <v>265</v>
      </c>
      <c r="F177" s="11">
        <v>1.0525343920228972E-2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spans="1:17" x14ac:dyDescent="0.2">
      <c r="A178" s="1"/>
      <c r="B178" s="1"/>
      <c r="C178" s="1"/>
      <c r="D178" s="1"/>
      <c r="E178" s="19" t="s">
        <v>266</v>
      </c>
      <c r="F178" s="11">
        <v>1.403379189363863E-2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spans="1:17" x14ac:dyDescent="0.2">
      <c r="A179" s="1"/>
      <c r="B179" s="1"/>
      <c r="C179" s="1"/>
      <c r="D179" s="1"/>
      <c r="E179" s="19" t="s">
        <v>267</v>
      </c>
      <c r="F179" s="11">
        <v>1.6988274397562553E-2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spans="1:17" x14ac:dyDescent="0.2">
      <c r="A180" s="1"/>
      <c r="B180" s="1"/>
      <c r="C180" s="1"/>
      <c r="D180" s="1"/>
      <c r="E180" s="19" t="s">
        <v>268</v>
      </c>
      <c r="F180" s="11">
        <v>1.2371895485181424E-2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spans="1:17" x14ac:dyDescent="0.2">
      <c r="A181" s="1"/>
      <c r="B181" s="1"/>
      <c r="C181" s="1"/>
      <c r="D181" s="1"/>
      <c r="E181" s="19" t="s">
        <v>269</v>
      </c>
      <c r="F181" s="11">
        <v>1.8465515649524513E-4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spans="1:17" x14ac:dyDescent="0.2">
      <c r="A182" s="1"/>
      <c r="B182" s="1"/>
      <c r="C182" s="1"/>
      <c r="D182" s="1"/>
      <c r="E182" s="19" t="s">
        <v>270</v>
      </c>
      <c r="F182" s="11">
        <v>4.3393961776382606E-3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spans="1:17" x14ac:dyDescent="0.2">
      <c r="A183" s="1"/>
      <c r="B183" s="1"/>
      <c r="C183" s="1"/>
      <c r="D183" s="1"/>
      <c r="E183" s="19" t="s">
        <v>271</v>
      </c>
      <c r="F183" s="11">
        <v>2.6128704644077187E-2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spans="1:17" x14ac:dyDescent="0.2">
      <c r="A184" s="1"/>
      <c r="B184" s="1"/>
      <c r="C184" s="1"/>
      <c r="D184" s="1"/>
      <c r="E184" s="19" t="s">
        <v>272</v>
      </c>
      <c r="F184" s="11">
        <v>1.6618964084572062E-3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spans="1:17" x14ac:dyDescent="0.2">
      <c r="A185" s="1"/>
      <c r="B185" s="1"/>
      <c r="C185" s="1"/>
      <c r="D185" s="1"/>
      <c r="E185" s="19" t="s">
        <v>273</v>
      </c>
      <c r="F185" s="11">
        <v>7.94017172929554E-3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spans="1:17" x14ac:dyDescent="0.2">
      <c r="A186" s="1"/>
      <c r="B186" s="1"/>
      <c r="C186" s="1"/>
      <c r="D186" s="1"/>
      <c r="E186" s="19" t="s">
        <v>274</v>
      </c>
      <c r="F186" s="11">
        <v>3.2314652386667897E-3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spans="1:17" x14ac:dyDescent="0.2">
      <c r="A187" s="1"/>
      <c r="B187" s="1"/>
      <c r="C187" s="1"/>
      <c r="D187" s="1"/>
      <c r="E187" s="19" t="s">
        <v>275</v>
      </c>
      <c r="F187" s="11">
        <v>4.7087064906287512E-3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spans="1:17" x14ac:dyDescent="0.2">
      <c r="A188" s="1"/>
      <c r="B188" s="1"/>
      <c r="C188" s="1"/>
      <c r="D188" s="1"/>
      <c r="E188" s="19" t="s">
        <v>276</v>
      </c>
      <c r="F188" s="11">
        <v>6.2505770473640476E-2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spans="1:17" x14ac:dyDescent="0.2">
      <c r="A189" s="1"/>
      <c r="B189" s="1"/>
      <c r="C189" s="1"/>
      <c r="D189" s="1"/>
      <c r="E189" s="19" t="s">
        <v>277</v>
      </c>
      <c r="F189" s="11">
        <v>2.9637152617486843E-2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spans="1:17" x14ac:dyDescent="0.2">
      <c r="A190" s="1"/>
      <c r="B190" s="1"/>
      <c r="C190" s="1"/>
      <c r="D190" s="1"/>
      <c r="E190" s="19" t="s">
        <v>278</v>
      </c>
      <c r="F190" s="11">
        <v>7.3862062598098054E-4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spans="1:17" x14ac:dyDescent="0.2">
      <c r="A191" s="1"/>
      <c r="B191" s="1"/>
      <c r="C191" s="1"/>
      <c r="D191" s="1"/>
      <c r="E191" s="19" t="s">
        <v>279</v>
      </c>
      <c r="F191" s="11">
        <v>1.5418705567352968E-2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spans="1:17" x14ac:dyDescent="0.2">
      <c r="A192" s="1"/>
      <c r="B192" s="1"/>
      <c r="C192" s="1"/>
      <c r="D192" s="1"/>
      <c r="E192" s="19" t="s">
        <v>280</v>
      </c>
      <c r="F192" s="11">
        <v>1.6618964084572062E-3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spans="1:17" x14ac:dyDescent="0.2">
      <c r="A193" s="1"/>
      <c r="B193" s="1"/>
      <c r="C193" s="1"/>
      <c r="D193" s="1"/>
      <c r="E193" s="19" t="s">
        <v>281</v>
      </c>
      <c r="F193" s="11">
        <v>1.3572154002400517E-2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spans="1:17" x14ac:dyDescent="0.2">
      <c r="A194" s="1"/>
      <c r="B194" s="1"/>
      <c r="C194" s="1"/>
      <c r="D194" s="1"/>
      <c r="E194" s="19" t="s">
        <v>282</v>
      </c>
      <c r="F194" s="11">
        <v>3.6931031299049025E-3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 spans="1:17" x14ac:dyDescent="0.2">
      <c r="A195" s="1"/>
      <c r="B195" s="1"/>
      <c r="C195" s="1"/>
      <c r="D195" s="1"/>
      <c r="E195" s="19" t="s">
        <v>283</v>
      </c>
      <c r="F195" s="11">
        <v>1.8465515649524513E-4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spans="1:17" x14ac:dyDescent="0.2">
      <c r="A196" s="1"/>
      <c r="B196" s="1"/>
      <c r="C196" s="1"/>
      <c r="D196" s="1"/>
      <c r="E196" s="19" t="s">
        <v>284</v>
      </c>
      <c r="F196" s="11">
        <v>0.13359800572430985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 spans="1:17" x14ac:dyDescent="0.2">
      <c r="A197" s="1"/>
      <c r="B197" s="1"/>
      <c r="C197" s="1"/>
      <c r="D197" s="1"/>
      <c r="E197" s="19" t="s">
        <v>285</v>
      </c>
      <c r="F197" s="11">
        <v>6.0936201643430896E-3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 spans="1:17" x14ac:dyDescent="0.2">
      <c r="A198" s="1"/>
      <c r="B198" s="1"/>
      <c r="C198" s="1"/>
      <c r="D198" s="1"/>
      <c r="E198" s="19" t="s">
        <v>286</v>
      </c>
      <c r="F198" s="10">
        <v>3.6200000000000003E-2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 spans="1:17" x14ac:dyDescent="0.2">
      <c r="A199" s="1"/>
      <c r="B199" s="1"/>
      <c r="C199" s="1"/>
      <c r="D199" s="1"/>
      <c r="E199" s="19" t="s">
        <v>287</v>
      </c>
      <c r="F199" s="11">
        <v>9.2327578247622567E-5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 spans="1:17" x14ac:dyDescent="0.2">
      <c r="A200" s="1"/>
      <c r="B200" s="1"/>
      <c r="C200" s="1"/>
      <c r="D200" s="1"/>
      <c r="E200" s="19" t="s">
        <v>288</v>
      </c>
      <c r="F200" s="11">
        <v>9.2327578247622567E-5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 spans="1:17" x14ac:dyDescent="0.2">
      <c r="A201" s="1"/>
      <c r="B201" s="1"/>
      <c r="C201" s="1"/>
      <c r="D201" s="1"/>
      <c r="E201" s="19" t="s">
        <v>289</v>
      </c>
      <c r="F201" s="11">
        <v>9.2327578247622567E-5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 spans="1:17" x14ac:dyDescent="0.2">
      <c r="A202" s="1"/>
      <c r="B202" s="1"/>
      <c r="C202" s="1"/>
      <c r="D202" s="1"/>
      <c r="E202" s="19" t="s">
        <v>290</v>
      </c>
      <c r="F202" s="11">
        <v>1.6988274397562553E-2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 spans="1:17" x14ac:dyDescent="0.2">
      <c r="A203" s="1"/>
      <c r="B203" s="1"/>
      <c r="C203" s="1"/>
      <c r="D203" s="1"/>
      <c r="E203" s="19" t="s">
        <v>291</v>
      </c>
      <c r="F203" s="11">
        <v>1.3849136737143384E-3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 spans="1:17" x14ac:dyDescent="0.2">
      <c r="A204" s="1"/>
      <c r="B204" s="1"/>
      <c r="C204" s="1"/>
      <c r="D204" s="1"/>
      <c r="E204" s="19" t="s">
        <v>292</v>
      </c>
      <c r="F204" s="11">
        <v>3.7854307081525251E-3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 spans="1:17" x14ac:dyDescent="0.2">
      <c r="A205" s="1"/>
      <c r="B205" s="1"/>
      <c r="C205" s="1"/>
      <c r="D205" s="16"/>
      <c r="E205" s="19" t="s">
        <v>293</v>
      </c>
      <c r="F205" s="11">
        <v>3.0468100821715448E-3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 spans="1:17" x14ac:dyDescent="0.2">
      <c r="A206" s="1"/>
      <c r="B206" s="1"/>
      <c r="C206" s="1"/>
      <c r="D206" s="16"/>
      <c r="E206" s="19" t="s">
        <v>294</v>
      </c>
      <c r="F206" s="11">
        <v>1.0617671498476595E-2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 spans="1:17" x14ac:dyDescent="0.2">
      <c r="A207" s="1"/>
      <c r="B207" s="1"/>
      <c r="C207" s="1"/>
      <c r="D207" s="16"/>
      <c r="E207" s="19" t="s">
        <v>295</v>
      </c>
      <c r="F207" s="11">
        <v>9.2327578247622567E-5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 spans="1:17" x14ac:dyDescent="0.2">
      <c r="A208" s="1"/>
      <c r="B208" s="1"/>
      <c r="C208" s="1"/>
      <c r="D208" s="16"/>
      <c r="E208" s="19" t="s">
        <v>296</v>
      </c>
      <c r="F208" s="11">
        <v>3.3237928169144123E-3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 spans="1:27" x14ac:dyDescent="0.2">
      <c r="A209" s="1"/>
      <c r="B209" s="1"/>
      <c r="C209" s="1"/>
      <c r="D209" s="16"/>
      <c r="E209" s="19" t="s">
        <v>297</v>
      </c>
      <c r="F209" s="11">
        <v>3.8777582864001478E-3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 spans="1:27" x14ac:dyDescent="0.2">
      <c r="A210" s="1"/>
      <c r="B210" s="1"/>
      <c r="C210" s="1"/>
      <c r="D210" s="16"/>
      <c r="E210" s="19" t="s">
        <v>298</v>
      </c>
      <c r="F210" s="10">
        <v>3.3E-3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 spans="1:27" x14ac:dyDescent="0.2">
      <c r="A211" s="1"/>
      <c r="B211" s="1"/>
      <c r="C211" s="1"/>
      <c r="D211" s="16"/>
      <c r="E211" s="19" t="s">
        <v>299</v>
      </c>
      <c r="F211" s="11">
        <v>1.8465515649524513E-4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 spans="1:27" x14ac:dyDescent="0.2">
      <c r="A212" s="1"/>
      <c r="B212" s="1"/>
      <c r="C212" s="1"/>
      <c r="D212" s="16"/>
      <c r="E212" s="19" t="s">
        <v>300</v>
      </c>
      <c r="F212" s="11">
        <v>9.7867232942479912E-3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 spans="1:27" x14ac:dyDescent="0.2">
      <c r="A213" s="1"/>
      <c r="B213" s="1"/>
      <c r="C213" s="1"/>
      <c r="D213" s="16"/>
      <c r="E213" s="19" t="s">
        <v>301</v>
      </c>
      <c r="F213" s="11">
        <v>9.2327578247622562E-4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 spans="1:27" x14ac:dyDescent="0.2">
      <c r="A214" s="1"/>
      <c r="B214" s="1"/>
      <c r="C214" s="1"/>
      <c r="D214" s="16"/>
      <c r="E214" s="19" t="s">
        <v>302</v>
      </c>
      <c r="F214" s="11">
        <v>1.6064998615086326E-2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 spans="1:27" x14ac:dyDescent="0.2">
      <c r="A215" s="1"/>
      <c r="B215" s="1"/>
      <c r="C215" s="1"/>
      <c r="D215" s="16"/>
      <c r="E215" s="19" t="s">
        <v>303</v>
      </c>
      <c r="F215" s="11">
        <v>1.7172929554057796E-2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 spans="1:27" x14ac:dyDescent="0.2">
      <c r="A216" s="1"/>
      <c r="B216" s="1"/>
      <c r="C216" s="1"/>
      <c r="D216" s="16"/>
      <c r="E216" s="5" t="s">
        <v>304</v>
      </c>
      <c r="F216" s="11">
        <v>1.1079309389714707E-3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 spans="1:27" x14ac:dyDescent="0.2">
      <c r="A217" s="1"/>
      <c r="B217" s="1"/>
      <c r="C217" s="1"/>
      <c r="D217" s="16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 spans="1:27" x14ac:dyDescent="0.2">
      <c r="A218" s="1"/>
      <c r="B218" s="1"/>
      <c r="C218" s="1"/>
      <c r="D218" s="16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x14ac:dyDescent="0.2">
      <c r="A219" s="25" t="s">
        <v>305</v>
      </c>
      <c r="B219" s="19"/>
      <c r="C219" s="26" t="s">
        <v>110</v>
      </c>
      <c r="D219" s="26" t="s">
        <v>306</v>
      </c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x14ac:dyDescent="0.2">
      <c r="A220" s="1"/>
      <c r="B220" s="1"/>
      <c r="C220" s="27" t="s">
        <v>222</v>
      </c>
      <c r="D220" s="28">
        <v>0.21329999999999999</v>
      </c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x14ac:dyDescent="0.2">
      <c r="A221" s="1"/>
      <c r="B221" s="1"/>
      <c r="C221" s="27" t="s">
        <v>209</v>
      </c>
      <c r="D221" s="28">
        <v>0.12139999999999999</v>
      </c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x14ac:dyDescent="0.2">
      <c r="A222" s="1"/>
      <c r="B222" s="1"/>
      <c r="C222" s="27" t="s">
        <v>166</v>
      </c>
      <c r="D222" s="28">
        <v>9.7799999999999998E-2</v>
      </c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x14ac:dyDescent="0.2">
      <c r="A223" s="1"/>
      <c r="B223" s="1"/>
      <c r="C223" s="27" t="s">
        <v>307</v>
      </c>
      <c r="D223" s="28">
        <v>0.08</v>
      </c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x14ac:dyDescent="0.2">
      <c r="A224" s="1"/>
      <c r="B224" s="1"/>
      <c r="C224" s="27" t="s">
        <v>116</v>
      </c>
      <c r="D224" s="28">
        <v>5.0200000000000002E-2</v>
      </c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x14ac:dyDescent="0.2">
      <c r="A225" s="1"/>
      <c r="B225" s="1"/>
      <c r="C225" s="27" t="s">
        <v>143</v>
      </c>
      <c r="D225" s="28">
        <v>4.6600000000000003E-2</v>
      </c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x14ac:dyDescent="0.2">
      <c r="A226" s="1"/>
      <c r="B226" s="1"/>
      <c r="C226" s="27" t="s">
        <v>175</v>
      </c>
      <c r="D226" s="28">
        <v>4.1700000000000001E-2</v>
      </c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x14ac:dyDescent="0.2">
      <c r="A227" s="1"/>
      <c r="B227" s="1"/>
      <c r="C227" s="27" t="s">
        <v>140</v>
      </c>
      <c r="D227" s="28">
        <v>4.02E-2</v>
      </c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x14ac:dyDescent="0.2">
      <c r="A228" s="1"/>
      <c r="B228" s="1"/>
      <c r="C228" s="27" t="s">
        <v>194</v>
      </c>
      <c r="D228" s="28">
        <v>3.7499999999999999E-2</v>
      </c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x14ac:dyDescent="0.2">
      <c r="A229" s="1"/>
      <c r="B229" s="1"/>
      <c r="C229" s="27" t="s">
        <v>148</v>
      </c>
      <c r="D229" s="28">
        <v>3.7400000000000003E-2</v>
      </c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x14ac:dyDescent="0.2">
      <c r="A230" s="1"/>
      <c r="B230" s="1"/>
      <c r="C230" s="27" t="s">
        <v>197</v>
      </c>
      <c r="D230" s="28">
        <v>3.5900000000000001E-2</v>
      </c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x14ac:dyDescent="0.2">
      <c r="A231" s="1"/>
      <c r="B231" s="1"/>
      <c r="C231" s="27" t="s">
        <v>161</v>
      </c>
      <c r="D231" s="28">
        <v>3.27E-2</v>
      </c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x14ac:dyDescent="0.2">
      <c r="A232" s="1"/>
      <c r="B232" s="1"/>
      <c r="C232" s="27" t="s">
        <v>204</v>
      </c>
      <c r="D232" s="28">
        <v>2.9399999999999999E-2</v>
      </c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x14ac:dyDescent="0.2">
      <c r="A233" s="1"/>
      <c r="B233" s="1"/>
      <c r="C233" s="27" t="s">
        <v>189</v>
      </c>
      <c r="D233" s="28">
        <v>2.2100000000000002E-2</v>
      </c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x14ac:dyDescent="0.2">
      <c r="A234" s="1"/>
      <c r="B234" s="1"/>
      <c r="C234" s="27" t="s">
        <v>182</v>
      </c>
      <c r="D234" s="28">
        <v>2.06E-2</v>
      </c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x14ac:dyDescent="0.2">
      <c r="A235" s="1"/>
      <c r="B235" s="1"/>
      <c r="C235" s="27" t="s">
        <v>251</v>
      </c>
      <c r="D235" s="28">
        <v>1.8200000000000001E-2</v>
      </c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x14ac:dyDescent="0.2">
      <c r="A236" s="1"/>
      <c r="B236" s="1"/>
      <c r="C236" s="27" t="s">
        <v>154</v>
      </c>
      <c r="D236" s="28">
        <v>1.8100000000000002E-2</v>
      </c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x14ac:dyDescent="0.2">
      <c r="A237" s="1"/>
      <c r="B237" s="1"/>
      <c r="C237" s="27" t="s">
        <v>248</v>
      </c>
      <c r="D237" s="28">
        <v>1.7000000000000001E-2</v>
      </c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x14ac:dyDescent="0.2">
      <c r="A238" s="1"/>
      <c r="B238" s="1"/>
      <c r="C238" s="27" t="s">
        <v>216</v>
      </c>
      <c r="D238" s="28">
        <v>1.44E-2</v>
      </c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x14ac:dyDescent="0.2">
      <c r="A239" s="1"/>
      <c r="B239" s="1"/>
      <c r="C239" s="27" t="s">
        <v>308</v>
      </c>
      <c r="D239" s="28">
        <v>1.2200000000000001E-2</v>
      </c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x14ac:dyDescent="0.2">
      <c r="A240" s="1"/>
      <c r="B240" s="1"/>
      <c r="C240" s="27" t="s">
        <v>309</v>
      </c>
      <c r="D240" s="28">
        <v>1.14E-2</v>
      </c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x14ac:dyDescent="0.2">
      <c r="A241" s="1"/>
      <c r="B241" s="1"/>
      <c r="C241" s="28" t="s">
        <v>245</v>
      </c>
      <c r="D241" s="28">
        <v>1.1299999999999999E-2</v>
      </c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x14ac:dyDescent="0.2">
      <c r="A242" s="1"/>
      <c r="B242" s="1"/>
      <c r="C242" s="27" t="s">
        <v>234</v>
      </c>
      <c r="D242" s="28">
        <v>1.12E-2</v>
      </c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x14ac:dyDescent="0.2">
      <c r="A243" s="1"/>
      <c r="B243" s="1"/>
      <c r="C243" s="27" t="s">
        <v>151</v>
      </c>
      <c r="D243" s="28">
        <v>1.0500000000000001E-2</v>
      </c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x14ac:dyDescent="0.2">
      <c r="A244" s="1"/>
      <c r="B244" s="1"/>
      <c r="C244" s="27" t="s">
        <v>310</v>
      </c>
      <c r="D244" s="28">
        <v>8.3999999999999995E-3</v>
      </c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x14ac:dyDescent="0.2">
      <c r="A245" s="1"/>
      <c r="B245" s="1"/>
      <c r="C245" s="27" t="s">
        <v>219</v>
      </c>
      <c r="D245" s="28">
        <v>4.1000000000000003E-3</v>
      </c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x14ac:dyDescent="0.2">
      <c r="A246" s="1"/>
      <c r="B246" s="1"/>
      <c r="C246" s="27" t="s">
        <v>311</v>
      </c>
      <c r="D246" s="28">
        <v>4.1000000000000003E-3</v>
      </c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x14ac:dyDescent="0.2">
      <c r="A247" s="1"/>
      <c r="B247" s="1"/>
      <c r="C247" s="27" t="s">
        <v>242</v>
      </c>
      <c r="D247" s="28">
        <v>3.7000000000000002E-3</v>
      </c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x14ac:dyDescent="0.2">
      <c r="A248" s="1"/>
      <c r="B248" s="1"/>
      <c r="C248" s="27" t="s">
        <v>237</v>
      </c>
      <c r="D248" s="28">
        <v>3.5999999999999999E-3</v>
      </c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x14ac:dyDescent="0.2">
      <c r="A249" s="1"/>
      <c r="B249" s="1"/>
      <c r="C249" s="27" t="s">
        <v>312</v>
      </c>
      <c r="D249" s="28">
        <v>3.3999999999999998E-3</v>
      </c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x14ac:dyDescent="0.2">
      <c r="A252" s="25" t="s">
        <v>313</v>
      </c>
      <c r="B252" s="19"/>
      <c r="C252" s="26" t="s">
        <v>314</v>
      </c>
      <c r="D252" s="29" t="s">
        <v>315</v>
      </c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x14ac:dyDescent="0.2">
      <c r="A253" s="22" t="s">
        <v>316</v>
      </c>
      <c r="B253" s="19"/>
      <c r="C253" s="27" t="s">
        <v>317</v>
      </c>
      <c r="D253" s="27" t="s">
        <v>318</v>
      </c>
      <c r="E253" s="12" t="s">
        <v>319</v>
      </c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x14ac:dyDescent="0.2">
      <c r="A254" s="1"/>
      <c r="B254" s="1"/>
      <c r="C254" s="27" t="s">
        <v>320</v>
      </c>
      <c r="D254" s="27" t="s">
        <v>321</v>
      </c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x14ac:dyDescent="0.2">
      <c r="A255" s="1"/>
      <c r="B255" s="1"/>
      <c r="C255" s="27" t="s">
        <v>322</v>
      </c>
      <c r="D255" s="27" t="s">
        <v>323</v>
      </c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x14ac:dyDescent="0.2">
      <c r="A257" s="49" t="s">
        <v>324</v>
      </c>
      <c r="B257" s="48"/>
      <c r="C257" s="30">
        <v>0.88100000000000001</v>
      </c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x14ac:dyDescent="0.2">
      <c r="A259" s="25" t="s">
        <v>325</v>
      </c>
      <c r="B259" s="1"/>
      <c r="C259" s="26" t="s">
        <v>326</v>
      </c>
      <c r="D259" s="29" t="s">
        <v>327</v>
      </c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x14ac:dyDescent="0.2">
      <c r="A260" s="25" t="s">
        <v>328</v>
      </c>
      <c r="B260" s="19"/>
      <c r="C260" s="27" t="s">
        <v>329</v>
      </c>
      <c r="D260" s="27" t="s">
        <v>330</v>
      </c>
      <c r="E260" s="12" t="s">
        <v>331</v>
      </c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x14ac:dyDescent="0.2">
      <c r="A261" s="1"/>
      <c r="B261" s="1"/>
      <c r="C261" s="27" t="s">
        <v>332</v>
      </c>
      <c r="D261" s="27" t="s">
        <v>333</v>
      </c>
      <c r="E261" s="12" t="s">
        <v>334</v>
      </c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x14ac:dyDescent="0.2">
      <c r="A262" s="1"/>
      <c r="B262" s="1"/>
      <c r="C262" s="27" t="s">
        <v>335</v>
      </c>
      <c r="D262" s="27" t="s">
        <v>336</v>
      </c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x14ac:dyDescent="0.2">
      <c r="A263" s="1"/>
      <c r="B263" s="1"/>
      <c r="C263" s="27" t="s">
        <v>337</v>
      </c>
      <c r="D263" s="27" t="s">
        <v>336</v>
      </c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x14ac:dyDescent="0.2">
      <c r="A266" s="25" t="s">
        <v>338</v>
      </c>
      <c r="B266" s="25" t="s">
        <v>110</v>
      </c>
      <c r="C266" s="25" t="s">
        <v>339</v>
      </c>
      <c r="D266" s="25" t="s">
        <v>340</v>
      </c>
      <c r="E266" s="25" t="s">
        <v>341</v>
      </c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x14ac:dyDescent="0.2">
      <c r="A267" s="1"/>
      <c r="B267" s="14" t="s">
        <v>116</v>
      </c>
      <c r="C267" s="14" t="s">
        <v>342</v>
      </c>
      <c r="D267" s="14" t="s">
        <v>343</v>
      </c>
      <c r="E267" s="14" t="s">
        <v>344</v>
      </c>
      <c r="F267" s="1" t="s">
        <v>345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x14ac:dyDescent="0.2">
      <c r="A268" s="1"/>
      <c r="B268" s="14" t="s">
        <v>140</v>
      </c>
      <c r="C268" s="14" t="s">
        <v>346</v>
      </c>
      <c r="D268" s="31">
        <v>0</v>
      </c>
      <c r="E268" s="14" t="s">
        <v>347</v>
      </c>
      <c r="F268" s="1" t="s">
        <v>348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x14ac:dyDescent="0.2">
      <c r="A269" s="1"/>
      <c r="B269" s="14" t="s">
        <v>307</v>
      </c>
      <c r="C269" s="14" t="s">
        <v>349</v>
      </c>
      <c r="D269" s="14" t="s">
        <v>350</v>
      </c>
      <c r="E269" s="14" t="s">
        <v>351</v>
      </c>
      <c r="F269" s="1" t="s">
        <v>352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x14ac:dyDescent="0.2">
      <c r="A270" s="1"/>
      <c r="B270" s="14" t="s">
        <v>143</v>
      </c>
      <c r="C270" s="14" t="s">
        <v>342</v>
      </c>
      <c r="D270" s="14" t="s">
        <v>353</v>
      </c>
      <c r="E270" s="14" t="s">
        <v>354</v>
      </c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x14ac:dyDescent="0.2">
      <c r="A271" s="1"/>
      <c r="B271" s="14" t="s">
        <v>308</v>
      </c>
      <c r="C271" s="14" t="s">
        <v>355</v>
      </c>
      <c r="D271" s="14" t="s">
        <v>353</v>
      </c>
      <c r="E271" s="14" t="s">
        <v>356</v>
      </c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x14ac:dyDescent="0.2">
      <c r="A272" s="1"/>
      <c r="B272" s="14" t="s">
        <v>148</v>
      </c>
      <c r="C272" s="14" t="s">
        <v>349</v>
      </c>
      <c r="D272" s="14" t="s">
        <v>357</v>
      </c>
      <c r="E272" s="14" t="s">
        <v>358</v>
      </c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x14ac:dyDescent="0.2">
      <c r="A273" s="1"/>
      <c r="B273" s="14" t="s">
        <v>151</v>
      </c>
      <c r="C273" s="14" t="s">
        <v>359</v>
      </c>
      <c r="D273" s="14" t="s">
        <v>360</v>
      </c>
      <c r="E273" s="14" t="s">
        <v>361</v>
      </c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x14ac:dyDescent="0.2">
      <c r="A274" s="1"/>
      <c r="B274" s="14" t="s">
        <v>154</v>
      </c>
      <c r="C274" s="14" t="s">
        <v>349</v>
      </c>
      <c r="D274" s="14" t="s">
        <v>353</v>
      </c>
      <c r="E274" s="14" t="s">
        <v>362</v>
      </c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x14ac:dyDescent="0.2">
      <c r="A275" s="1"/>
      <c r="B275" s="14" t="s">
        <v>161</v>
      </c>
      <c r="C275" s="14" t="s">
        <v>355</v>
      </c>
      <c r="D275" s="14" t="s">
        <v>357</v>
      </c>
      <c r="E275" s="14" t="s">
        <v>363</v>
      </c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x14ac:dyDescent="0.2">
      <c r="A276" s="1"/>
      <c r="B276" s="14" t="s">
        <v>166</v>
      </c>
      <c r="C276" s="14" t="s">
        <v>355</v>
      </c>
      <c r="D276" s="14" t="s">
        <v>350</v>
      </c>
      <c r="E276" s="14" t="s">
        <v>364</v>
      </c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x14ac:dyDescent="0.2">
      <c r="A277" s="1"/>
      <c r="B277" s="14" t="s">
        <v>175</v>
      </c>
      <c r="C277" s="14" t="s">
        <v>359</v>
      </c>
      <c r="D277" s="14" t="s">
        <v>350</v>
      </c>
      <c r="E277" s="14" t="s">
        <v>365</v>
      </c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x14ac:dyDescent="0.2">
      <c r="A278" s="1"/>
      <c r="B278" s="14" t="s">
        <v>309</v>
      </c>
      <c r="C278" s="14" t="s">
        <v>359</v>
      </c>
      <c r="D278" s="14" t="s">
        <v>360</v>
      </c>
      <c r="E278" s="14" t="s">
        <v>366</v>
      </c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x14ac:dyDescent="0.2">
      <c r="A279" s="1"/>
      <c r="B279" s="14" t="s">
        <v>182</v>
      </c>
      <c r="C279" s="14" t="s">
        <v>342</v>
      </c>
      <c r="D279" s="14" t="s">
        <v>353</v>
      </c>
      <c r="E279" s="14" t="s">
        <v>367</v>
      </c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x14ac:dyDescent="0.2">
      <c r="A280" s="1"/>
      <c r="B280" s="14" t="s">
        <v>189</v>
      </c>
      <c r="C280" s="14" t="s">
        <v>342</v>
      </c>
      <c r="D280" s="14" t="s">
        <v>353</v>
      </c>
      <c r="E280" s="14" t="s">
        <v>368</v>
      </c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x14ac:dyDescent="0.2">
      <c r="A281" s="1"/>
      <c r="B281" s="14" t="s">
        <v>194</v>
      </c>
      <c r="C281" s="14" t="s">
        <v>355</v>
      </c>
      <c r="D281" s="14" t="s">
        <v>357</v>
      </c>
      <c r="E281" s="14" t="s">
        <v>369</v>
      </c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x14ac:dyDescent="0.2">
      <c r="A282" s="1"/>
      <c r="B282" s="14" t="s">
        <v>197</v>
      </c>
      <c r="C282" s="14" t="s">
        <v>359</v>
      </c>
      <c r="D282" s="14" t="s">
        <v>357</v>
      </c>
      <c r="E282" s="14" t="s">
        <v>370</v>
      </c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x14ac:dyDescent="0.2">
      <c r="A283" s="1"/>
      <c r="B283" s="14" t="s">
        <v>204</v>
      </c>
      <c r="C283" s="14" t="s">
        <v>359</v>
      </c>
      <c r="D283" s="14" t="s">
        <v>353</v>
      </c>
      <c r="E283" s="14" t="s">
        <v>371</v>
      </c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x14ac:dyDescent="0.2">
      <c r="A284" s="1"/>
      <c r="B284" s="14" t="s">
        <v>310</v>
      </c>
      <c r="C284" s="14" t="s">
        <v>342</v>
      </c>
      <c r="D284" s="14" t="s">
        <v>357</v>
      </c>
      <c r="E284" s="14" t="s">
        <v>372</v>
      </c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x14ac:dyDescent="0.2">
      <c r="A285" s="1"/>
      <c r="B285" s="14" t="s">
        <v>312</v>
      </c>
      <c r="C285" s="14" t="s">
        <v>355</v>
      </c>
      <c r="D285" s="14" t="s">
        <v>353</v>
      </c>
      <c r="E285" s="14" t="s">
        <v>373</v>
      </c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x14ac:dyDescent="0.2">
      <c r="A286" s="1"/>
      <c r="B286" s="14" t="s">
        <v>209</v>
      </c>
      <c r="C286" s="14" t="s">
        <v>359</v>
      </c>
      <c r="D286" s="14" t="s">
        <v>350</v>
      </c>
      <c r="E286" s="14" t="s">
        <v>374</v>
      </c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x14ac:dyDescent="0.2">
      <c r="A287" s="1"/>
      <c r="B287" s="14" t="s">
        <v>216</v>
      </c>
      <c r="C287" s="14" t="s">
        <v>342</v>
      </c>
      <c r="D287" s="14" t="s">
        <v>353</v>
      </c>
      <c r="E287" s="14" t="s">
        <v>215</v>
      </c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x14ac:dyDescent="0.2">
      <c r="A288" s="1"/>
      <c r="B288" s="14" t="s">
        <v>219</v>
      </c>
      <c r="C288" s="14" t="s">
        <v>349</v>
      </c>
      <c r="D288" s="14" t="s">
        <v>353</v>
      </c>
      <c r="E288" s="14" t="s">
        <v>375</v>
      </c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x14ac:dyDescent="0.2">
      <c r="A289" s="1"/>
      <c r="B289" s="14" t="s">
        <v>222</v>
      </c>
      <c r="C289" s="14" t="s">
        <v>342</v>
      </c>
      <c r="D289" s="14" t="s">
        <v>350</v>
      </c>
      <c r="E289" s="14" t="s">
        <v>376</v>
      </c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x14ac:dyDescent="0.2">
      <c r="A290" s="1"/>
      <c r="B290" s="14" t="s">
        <v>234</v>
      </c>
      <c r="C290" s="14" t="s">
        <v>349</v>
      </c>
      <c r="D290" s="14" t="s">
        <v>360</v>
      </c>
      <c r="E290" s="14" t="s">
        <v>377</v>
      </c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x14ac:dyDescent="0.2">
      <c r="A291" s="1"/>
      <c r="B291" s="14" t="s">
        <v>237</v>
      </c>
      <c r="C291" s="14" t="s">
        <v>355</v>
      </c>
      <c r="D291" s="14" t="s">
        <v>353</v>
      </c>
      <c r="E291" s="14" t="s">
        <v>239</v>
      </c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x14ac:dyDescent="0.2">
      <c r="A292" s="1"/>
      <c r="B292" s="14" t="s">
        <v>378</v>
      </c>
      <c r="C292" s="14" t="s">
        <v>359</v>
      </c>
      <c r="D292" s="14" t="s">
        <v>353</v>
      </c>
      <c r="E292" s="14" t="s">
        <v>379</v>
      </c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x14ac:dyDescent="0.2">
      <c r="A293" s="1"/>
      <c r="B293" s="14" t="s">
        <v>242</v>
      </c>
      <c r="C293" s="14" t="s">
        <v>380</v>
      </c>
      <c r="D293" s="14" t="s">
        <v>353</v>
      </c>
      <c r="E293" s="14" t="s">
        <v>381</v>
      </c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x14ac:dyDescent="0.2">
      <c r="A294" s="1"/>
      <c r="B294" s="14" t="s">
        <v>245</v>
      </c>
      <c r="C294" s="14" t="s">
        <v>359</v>
      </c>
      <c r="D294" s="14" t="s">
        <v>353</v>
      </c>
      <c r="E294" s="14" t="s">
        <v>244</v>
      </c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x14ac:dyDescent="0.2">
      <c r="A295" s="1"/>
      <c r="B295" s="14" t="s">
        <v>248</v>
      </c>
      <c r="C295" s="14" t="s">
        <v>355</v>
      </c>
      <c r="D295" s="14" t="s">
        <v>357</v>
      </c>
      <c r="E295" s="14" t="s">
        <v>247</v>
      </c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x14ac:dyDescent="0.2">
      <c r="A296" s="1"/>
      <c r="B296" s="14" t="s">
        <v>251</v>
      </c>
      <c r="C296" s="14" t="s">
        <v>346</v>
      </c>
      <c r="D296" s="31">
        <v>0</v>
      </c>
      <c r="E296" s="14" t="s">
        <v>382</v>
      </c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1:27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 spans="1:27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 spans="1:27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 spans="1:27" x14ac:dyDescent="0.2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  <row r="1006" spans="1:27" x14ac:dyDescent="0.2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</row>
    <row r="1007" spans="1:27" x14ac:dyDescent="0.2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</row>
    <row r="1008" spans="1:27" x14ac:dyDescent="0.2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</row>
    <row r="1009" spans="1:27" x14ac:dyDescent="0.2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</row>
    <row r="1010" spans="1:27" x14ac:dyDescent="0.2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</row>
    <row r="1011" spans="1:27" x14ac:dyDescent="0.2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</row>
    <row r="1012" spans="1:27" x14ac:dyDescent="0.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</row>
    <row r="1013" spans="1:27" x14ac:dyDescent="0.2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</row>
    <row r="1014" spans="1:27" x14ac:dyDescent="0.2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</row>
    <row r="1015" spans="1:27" x14ac:dyDescent="0.2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</row>
    <row r="1016" spans="1:27" x14ac:dyDescent="0.2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</row>
    <row r="1017" spans="1:27" x14ac:dyDescent="0.2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</row>
    <row r="1018" spans="1:27" x14ac:dyDescent="0.2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</row>
    <row r="1019" spans="1:27" x14ac:dyDescent="0.2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</row>
    <row r="1020" spans="1:27" x14ac:dyDescent="0.2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</row>
    <row r="1021" spans="1:27" x14ac:dyDescent="0.2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</row>
    <row r="1022" spans="1:27" x14ac:dyDescent="0.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</row>
    <row r="1023" spans="1:27" x14ac:dyDescent="0.2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</row>
    <row r="1024" spans="1:27" x14ac:dyDescent="0.2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</row>
    <row r="1025" spans="1:27" x14ac:dyDescent="0.2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</row>
    <row r="1026" spans="1:27" x14ac:dyDescent="0.2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</row>
    <row r="1027" spans="1:27" x14ac:dyDescent="0.2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</row>
    <row r="1028" spans="1:27" x14ac:dyDescent="0.2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</row>
    <row r="1029" spans="1:27" x14ac:dyDescent="0.2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</row>
    <row r="1030" spans="1:27" x14ac:dyDescent="0.2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</row>
    <row r="1031" spans="1:27" x14ac:dyDescent="0.2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</row>
    <row r="1032" spans="1:27" x14ac:dyDescent="0.2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</row>
    <row r="1033" spans="1:27" x14ac:dyDescent="0.2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</row>
    <row r="1034" spans="1:27" x14ac:dyDescent="0.2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</row>
    <row r="1035" spans="1:27" x14ac:dyDescent="0.2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</row>
    <row r="1036" spans="1:27" x14ac:dyDescent="0.2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</row>
    <row r="1037" spans="1:27" x14ac:dyDescent="0.2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</row>
    <row r="1038" spans="1:27" x14ac:dyDescent="0.2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</row>
    <row r="1039" spans="1:27" x14ac:dyDescent="0.2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</row>
    <row r="1040" spans="1:27" x14ac:dyDescent="0.2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</row>
    <row r="1041" spans="1:27" x14ac:dyDescent="0.2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</row>
    <row r="1042" spans="1:27" x14ac:dyDescent="0.2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</row>
    <row r="1043" spans="1:27" x14ac:dyDescent="0.2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</row>
    <row r="1044" spans="1:27" x14ac:dyDescent="0.2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</row>
    <row r="1045" spans="1:27" x14ac:dyDescent="0.2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</row>
    <row r="1046" spans="1:27" x14ac:dyDescent="0.2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</row>
    <row r="1047" spans="1:27" x14ac:dyDescent="0.2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</row>
    <row r="1048" spans="1:27" x14ac:dyDescent="0.2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</row>
    <row r="1049" spans="1:27" x14ac:dyDescent="0.2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</row>
    <row r="1050" spans="1:27" x14ac:dyDescent="0.2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</row>
    <row r="1051" spans="1:27" x14ac:dyDescent="0.2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</row>
    <row r="1052" spans="1:27" x14ac:dyDescent="0.2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</row>
    <row r="1053" spans="1:27" x14ac:dyDescent="0.2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</row>
    <row r="1054" spans="1:27" x14ac:dyDescent="0.2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</row>
    <row r="1055" spans="1:27" x14ac:dyDescent="0.2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</row>
    <row r="1056" spans="1:27" x14ac:dyDescent="0.2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</row>
    <row r="1057" spans="1:27" x14ac:dyDescent="0.2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</row>
    <row r="1058" spans="1:27" x14ac:dyDescent="0.2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</row>
    <row r="1059" spans="1:27" x14ac:dyDescent="0.2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</row>
    <row r="1060" spans="1:27" x14ac:dyDescent="0.2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</row>
    <row r="1061" spans="1:27" x14ac:dyDescent="0.2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</row>
    <row r="1062" spans="1:27" x14ac:dyDescent="0.2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</row>
    <row r="1063" spans="1:27" x14ac:dyDescent="0.2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</row>
    <row r="1064" spans="1:27" x14ac:dyDescent="0.2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</row>
    <row r="1065" spans="1:27" x14ac:dyDescent="0.2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</row>
    <row r="1066" spans="1:27" x14ac:dyDescent="0.2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</row>
    <row r="1067" spans="1:27" x14ac:dyDescent="0.2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</row>
    <row r="1068" spans="1:27" x14ac:dyDescent="0.2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</row>
    <row r="1069" spans="1:27" x14ac:dyDescent="0.2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</row>
    <row r="1070" spans="1:27" x14ac:dyDescent="0.2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</row>
    <row r="1071" spans="1:27" x14ac:dyDescent="0.2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</row>
    <row r="1072" spans="1:27" x14ac:dyDescent="0.2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</row>
    <row r="1073" spans="1:27" x14ac:dyDescent="0.2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</row>
    <row r="1074" spans="1:27" x14ac:dyDescent="0.2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</row>
    <row r="1075" spans="1:27" x14ac:dyDescent="0.2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Camacho Otero (Invitado)</cp:lastModifiedBy>
  <dcterms:modified xsi:type="dcterms:W3CDTF">2026-03-29T18:01:20Z</dcterms:modified>
</cp:coreProperties>
</file>